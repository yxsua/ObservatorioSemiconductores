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4e10f86637fad6/Desktop/"/>
    </mc:Choice>
  </mc:AlternateContent>
  <xr:revisionPtr revIDLastSave="0" documentId="8_{C401AC10-9502-49A4-83BF-0E02AFAEB8A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MPIEZA_AQUI" sheetId="1" r:id="rId1"/>
    <sheet name="CALCULADORA_7" sheetId="2" r:id="rId2"/>
    <sheet name="RESUMEN" sheetId="3" r:id="rId3"/>
    <sheet name="MAPA_39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I8" i="2" s="1"/>
  <c r="G9" i="2"/>
  <c r="I9" i="2" s="1"/>
  <c r="E87" i="2"/>
  <c r="C87" i="2"/>
  <c r="B10" i="3" s="1"/>
  <c r="F85" i="2"/>
  <c r="E85" i="2"/>
  <c r="F84" i="2"/>
  <c r="E84" i="2"/>
  <c r="F83" i="2"/>
  <c r="E83" i="2"/>
  <c r="E76" i="2"/>
  <c r="C76" i="2"/>
  <c r="B9" i="3" s="1"/>
  <c r="F74" i="2"/>
  <c r="E74" i="2"/>
  <c r="F73" i="2"/>
  <c r="E73" i="2"/>
  <c r="F72" i="2"/>
  <c r="E72" i="2"/>
  <c r="G63" i="2"/>
  <c r="I63" i="2" s="1"/>
  <c r="I62" i="2"/>
  <c r="G62" i="2"/>
  <c r="G61" i="2"/>
  <c r="I61" i="2" s="1"/>
  <c r="G60" i="2"/>
  <c r="D65" i="2" s="1"/>
  <c r="I51" i="2"/>
  <c r="G51" i="2"/>
  <c r="G50" i="2"/>
  <c r="I50" i="2" s="1"/>
  <c r="G49" i="2"/>
  <c r="I49" i="2" s="1"/>
  <c r="G48" i="2"/>
  <c r="I48" i="2" s="1"/>
  <c r="G47" i="2"/>
  <c r="D53" i="2" s="1"/>
  <c r="G38" i="2"/>
  <c r="I38" i="2" s="1"/>
  <c r="G37" i="2"/>
  <c r="I37" i="2" s="1"/>
  <c r="I36" i="2"/>
  <c r="G36" i="2"/>
  <c r="G35" i="2"/>
  <c r="I35" i="2" s="1"/>
  <c r="G34" i="2"/>
  <c r="I34" i="2" s="1"/>
  <c r="I25" i="2"/>
  <c r="G25" i="2"/>
  <c r="G24" i="2"/>
  <c r="I24" i="2" s="1"/>
  <c r="G23" i="2"/>
  <c r="I23" i="2" s="1"/>
  <c r="G22" i="2"/>
  <c r="I22" i="2" s="1"/>
  <c r="I21" i="2"/>
  <c r="G21" i="2"/>
  <c r="D27" i="2" s="1"/>
  <c r="G12" i="2"/>
  <c r="I12" i="2" s="1"/>
  <c r="G11" i="2"/>
  <c r="I11" i="2" s="1"/>
  <c r="G10" i="2"/>
  <c r="I10" i="2" s="1"/>
  <c r="I47" i="2" l="1"/>
  <c r="F65" i="2"/>
  <c r="B8" i="3"/>
  <c r="B7" i="3"/>
  <c r="F53" i="2"/>
  <c r="B5" i="3"/>
  <c r="F27" i="2"/>
  <c r="D14" i="2"/>
  <c r="F14" i="2" s="1"/>
  <c r="D40" i="2"/>
  <c r="G76" i="2"/>
  <c r="G87" i="2"/>
  <c r="I60" i="2"/>
  <c r="F89" i="2"/>
  <c r="G89" i="2" s="1"/>
  <c r="B4" i="3" l="1"/>
  <c r="D4" i="3" s="1"/>
  <c r="D7" i="3"/>
  <c r="C7" i="3"/>
  <c r="D5" i="3"/>
  <c r="C5" i="3"/>
  <c r="D8" i="3"/>
  <c r="C8" i="3"/>
  <c r="B6" i="3"/>
  <c r="F40" i="2"/>
  <c r="C4" i="3" l="1"/>
  <c r="D6" i="3"/>
  <c r="C6" i="3"/>
</calcChain>
</file>

<file path=xl/sharedStrings.xml><?xml version="1.0" encoding="utf-8"?>
<sst xmlns="http://schemas.openxmlformats.org/spreadsheetml/2006/main" count="547" uniqueCount="295">
  <si>
    <t>SIIP · CALCULADORA PRÁCTICA DE LOS 7 INDICADORES WEB</t>
  </si>
  <si>
    <t>¿QUÉ TENGO QUE HACER?</t>
  </si>
  <si>
    <t>COLORES</t>
  </si>
  <si>
    <t>1</t>
  </si>
  <si>
    <t>Abre la hoja CALCULADORA_7.</t>
  </si>
  <si>
    <t>Ahí están los 7 indicadores de la página web.</t>
  </si>
  <si>
    <t>AMARILLO</t>
  </si>
  <si>
    <t>Tú escribes aquí</t>
  </si>
  <si>
    <t>2</t>
  </si>
  <si>
    <t>Escribe únicamente en las celdas AMARILLAS.</t>
  </si>
  <si>
    <t>Captura el valor actual, el valor que considerarías MUY BUENO y el valor que considerarías MUY MALO.</t>
  </si>
  <si>
    <t>AZUL</t>
  </si>
  <si>
    <t>Fórmula automática</t>
  </si>
  <si>
    <t>3</t>
  </si>
  <si>
    <t>No escribas fórmulas.</t>
  </si>
  <si>
    <t>Excel calcula automáticamente un puntaje de 0 a 100.</t>
  </si>
  <si>
    <t>VERDE</t>
  </si>
  <si>
    <t>Resultado favorable</t>
  </si>
  <si>
    <t>4</t>
  </si>
  <si>
    <t>Mira el RESULTADO FINAL.</t>
  </si>
  <si>
    <t>Se pinta con color y aparece un mensaje que te dice cómo interpretarlo.</t>
  </si>
  <si>
    <t>Resultado medio</t>
  </si>
  <si>
    <t>5</t>
  </si>
  <si>
    <t>En SAM 2025 y SAM 2030 captura los rangos de los tres proxies.</t>
  </si>
  <si>
    <t>Excel calcula el rango combinado, punto medio y crecimiento anual.</t>
  </si>
  <si>
    <t>NARANJA</t>
  </si>
  <si>
    <t>Resultado bajo</t>
  </si>
  <si>
    <t>ROJO</t>
  </si>
  <si>
    <t>Atención prioritaria</t>
  </si>
  <si>
    <t>¿CÓMO INTERPRETAR EL PUNTAJE 0–100?</t>
  </si>
  <si>
    <t>0–39</t>
  </si>
  <si>
    <t>ATENCIÓN PRIORITARIA</t>
  </si>
  <si>
    <t>El indicador presenta condiciones débiles. Conviene revisar los subindicadores con menor puntaje y definir acciones de mejora.</t>
  </si>
  <si>
    <t>40–59</t>
  </si>
  <si>
    <t>NIVEL BAJO / EN DESARROLLO</t>
  </si>
  <si>
    <t>Existen avances, pero todavía hay brechas importantes antes de considerar el resultado favorable.</t>
  </si>
  <si>
    <t>60–79</t>
  </si>
  <si>
    <t>NIVEL MEDIO / FAVORABLE CON ÁREAS DE MEJORA</t>
  </si>
  <si>
    <t>El indicador muestra una situación aceptable, aunque algunos componentes todavía pueden fortalecerse.</t>
  </si>
  <si>
    <t>80–100</t>
  </si>
  <si>
    <t>NIVEL ALTO / FAVORABLE</t>
  </si>
  <si>
    <t>El indicador muestra condiciones sólidas respecto a los valores de referencia que capturaste.</t>
  </si>
  <si>
    <t>IMPORTANTE: Los colores y rangos 0–39, 40–59, 60–79 y 80–100 son una PROPUESTA OPERATIVA DE LECTURA para facilitar la interpretación. No sustituyen los umbrales oficiales del proyecto. Lo importante es que tú defines los valores 'Muy bueno' y 'Muy malo' con base en la metodología y las fuentes del SIIP.</t>
  </si>
  <si>
    <t>CALCULADORA SIMPLE · 7 INDICADORES DE LA PÁGINA WEB</t>
  </si>
  <si>
    <t>AMARILLO = tú capturas | AZUL = Excel calcula | El resultado final se pinta solo y te da un mensaje.</t>
  </si>
  <si>
    <t>WEB-01 · PERTINENCIA SOSTENIBLE</t>
  </si>
  <si>
    <t>¿PARA QUÉ SIRVE? Resume qué tan favorable es el desempeño en energía, certificaciones, eficiencia, emisiones y agua.</t>
  </si>
  <si>
    <t>Código</t>
  </si>
  <si>
    <t>Subindicador</t>
  </si>
  <si>
    <t>Dirección</t>
  </si>
  <si>
    <t>VALOR ACTUAL</t>
  </si>
  <si>
    <t>MUY MALO</t>
  </si>
  <si>
    <t>MUY BUENO</t>
  </si>
  <si>
    <t>PUNTAJE 0–100</t>
  </si>
  <si>
    <t>Peso %</t>
  </si>
  <si>
    <t>Aporte</t>
  </si>
  <si>
    <t>¿Qué significa?</t>
  </si>
  <si>
    <t>Fórmula</t>
  </si>
  <si>
    <t>PSO1</t>
  </si>
  <si>
    <t>% energía renovable</t>
  </si>
  <si>
    <t>Más es mejor</t>
  </si>
  <si>
    <t>Más energía renovable mejora el desempeño sostenible.</t>
  </si>
  <si>
    <t>'Más es mejor: (Actual−Muy malo)/(Muy bueno−Muy malo)×100 | Menos es mejor: (Muy malo−Actual)/(Muy malo−Muy bueno)×100</t>
  </si>
  <si>
    <t>PSO2</t>
  </si>
  <si>
    <t>Certificaciones LEED/ICREA</t>
  </si>
  <si>
    <t>Más instalaciones certificadas fortalecen el desempeño.</t>
  </si>
  <si>
    <t>PSO3</t>
  </si>
  <si>
    <t>Consumo energético por MW</t>
  </si>
  <si>
    <t>Menos es mejor</t>
  </si>
  <si>
    <t>Menor consumo por unidad de capacidad implica mejor eficiencia.</t>
  </si>
  <si>
    <t>PSO4</t>
  </si>
  <si>
    <t>Huella ambiental / emisiones</t>
  </si>
  <si>
    <t>Menores emisiones o huella representan mejor desempeño.</t>
  </si>
  <si>
    <t>PSO5</t>
  </si>
  <si>
    <t>Gestión hídrica / reúso</t>
  </si>
  <si>
    <t>Mayor reúso/tratamiento representa mejor gestión del agua.</t>
  </si>
  <si>
    <t>RESULTADO FINAL</t>
  </si>
  <si>
    <t>WEB-02 · PERTINENCIA NORMATIVA</t>
  </si>
  <si>
    <t>¿PARA QUÉ SIRVE? Resume qué tan sólido es el entorno de política, regulación, cumplimiento, colaboración y gobernanza.</t>
  </si>
  <si>
    <t>PN1</t>
  </si>
  <si>
    <t>Políticas estatales</t>
  </si>
  <si>
    <t>Más instrumentos vigentes y aplicables fortalecen el entorno.</t>
  </si>
  <si>
    <t>PN2</t>
  </si>
  <si>
    <t>Madurez regulatoria energética</t>
  </si>
  <si>
    <t>Mayor claridad y madurez regulatoria facilita operación/inversión.</t>
  </si>
  <si>
    <t>PN3</t>
  </si>
  <si>
    <t>Cumplimiento T-MEC</t>
  </si>
  <si>
    <t>Mayor cumplimiento representa mejor alineación comercial.</t>
  </si>
  <si>
    <t>PN4</t>
  </si>
  <si>
    <t>Colaboraciones / proyectos</t>
  </si>
  <si>
    <t>Más colaboraciones verificables fortalecen articulación internacional.</t>
  </si>
  <si>
    <t>PN5</t>
  </si>
  <si>
    <t>Gobernanza educativa</t>
  </si>
  <si>
    <t>Más mecanismos activos de coordinación mejoran gobernanza.</t>
  </si>
  <si>
    <t>WEB-03 · PERTINENCIA SOCIAL</t>
  </si>
  <si>
    <t>¿PARA QUÉ SIRVE? Resume la capacidad del ecosistema para formar, emplear y actualizar talento pertinente.</t>
  </si>
  <si>
    <t>PS1</t>
  </si>
  <si>
    <t>Ingenieros formados al año</t>
  </si>
  <si>
    <t>Mayor oferta de egresados aumenta disponibilidad de talento.</t>
  </si>
  <si>
    <t>PS2</t>
  </si>
  <si>
    <t>Brecha de talento</t>
  </si>
  <si>
    <t>Una brecha menor indica mejor ajuste entre oferta y demanda de competencias.</t>
  </si>
  <si>
    <t>PS3</t>
  </si>
  <si>
    <t>Empleabilidad STEM</t>
  </si>
  <si>
    <t>Mayor empleabilidad sugiere mejor absorción del talento.</t>
  </si>
  <si>
    <t>PS4</t>
  </si>
  <si>
    <t>Actualización docente</t>
  </si>
  <si>
    <t>Mayor actualización fortalece la capacidad formativa.</t>
  </si>
  <si>
    <t>PS5</t>
  </si>
  <si>
    <t>Formación especializada</t>
  </si>
  <si>
    <t>Más programas pertinentes aumentan oferta especializada.</t>
  </si>
  <si>
    <t>WEB-04 · PERTINENCIA TECNOLÓGICA</t>
  </si>
  <si>
    <t>¿PARA QUÉ SIRVE? Resume la capacidad efectiva de laboratorios, madurez tecnológica, diseño/pruebas, manufactura y proyectos.</t>
  </si>
  <si>
    <t>PT1</t>
  </si>
  <si>
    <t>Laboratorios especializados</t>
  </si>
  <si>
    <t>Más capacidad operativa de laboratorios fortalece I+D y pruebas.</t>
  </si>
  <si>
    <t>PT2</t>
  </si>
  <si>
    <t>TRL promedio/mediano</t>
  </si>
  <si>
    <t>Mayor TRL implica tecnologías más cercanas a aplicación.</t>
  </si>
  <si>
    <t>PT3</t>
  </si>
  <si>
    <t>Programas de diseño y pruebas</t>
  </si>
  <si>
    <t>Más oferta formal fortalece capacidades de diseño/prueba.</t>
  </si>
  <si>
    <t>PT4</t>
  </si>
  <si>
    <t>Capacidad EMS/PCBA</t>
  </si>
  <si>
    <t>Mayor capacidad instalada fortalece manufactura electrónica.</t>
  </si>
  <si>
    <t>PT5</t>
  </si>
  <si>
    <t>Proyectos activos</t>
  </si>
  <si>
    <t>Más proyectos activos reflejan dinamismo tecnológico.</t>
  </si>
  <si>
    <t>WEB-05 · PERTINENCIA ECONÓMICA</t>
  </si>
  <si>
    <t>¿PARA QUÉ SIRVE? Resume la escala, crecimiento, articulación productiva y efecto económico del mercado atendible.</t>
  </si>
  <si>
    <t>PE1</t>
  </si>
  <si>
    <t>Tamaño del SAM</t>
  </si>
  <si>
    <t>Un mercado atendible mayor representa mayor oportunidad económica potencial.</t>
  </si>
  <si>
    <t>PE2</t>
  </si>
  <si>
    <t>Crecimiento proyectado del SAM</t>
  </si>
  <si>
    <t>Mayor crecimiento esperado aumenta atractivo del mercado.</t>
  </si>
  <si>
    <t>PE3</t>
  </si>
  <si>
    <t>Encadenamientos industriales</t>
  </si>
  <si>
    <t>Mayor encadenamiento implica más integración productiva local.</t>
  </si>
  <si>
    <t>PE4</t>
  </si>
  <si>
    <t>Multiplicador económico</t>
  </si>
  <si>
    <t>Mayor multiplicador implica mayor efecto económico por unidad de inversión.</t>
  </si>
  <si>
    <t>WEB-07 · MERCADO ATENDIBLE (SAM) 2025</t>
  </si>
  <si>
    <t>¿PARA QUÉ SIRVE? Estima el tamaño del mercado atendible regional en 2025. NO representa ventas observadas.</t>
  </si>
  <si>
    <t>Proxy</t>
  </si>
  <si>
    <t>Bajo MUSD</t>
  </si>
  <si>
    <t>Alto MUSD</t>
  </si>
  <si>
    <t>Bajo ponderado</t>
  </si>
  <si>
    <t>Alto ponderado</t>
  </si>
  <si>
    <t>¿Qué representa?</t>
  </si>
  <si>
    <t>Proxy A · Bottom-up</t>
  </si>
  <si>
    <t>Flujos observables / insumos.</t>
  </si>
  <si>
    <t>Proxy B · Participación estructural</t>
  </si>
  <si>
    <t>Participación relativa de Querétaro.</t>
  </si>
  <si>
    <t>Proxy C · Demanda funcional</t>
  </si>
  <si>
    <t>Demanda inducida por sectores ancla.</t>
  </si>
  <si>
    <t>RESULTADO SAM 2025</t>
  </si>
  <si>
    <t>a</t>
  </si>
  <si>
    <t>MUSD</t>
  </si>
  <si>
    <t>WEB-06 · MERCADO ATENDIBLE (SAM) 2030</t>
  </si>
  <si>
    <t>¿PARA QUÉ SIRVE? Proyecta el mercado atendible hacia 2030. Debe interpretarse como escenario, no como cifra cierta.</t>
  </si>
  <si>
    <t>RESULTADO SAM 2030</t>
  </si>
  <si>
    <t>CRECIMIENTO ANUAL 2025 → 2030</t>
  </si>
  <si>
    <t>años</t>
  </si>
  <si>
    <t>RESUMEN AUTOMÁTICO DE LOS 7 INDICADORES</t>
  </si>
  <si>
    <t>Indicador web</t>
  </si>
  <si>
    <t>Resultado</t>
  </si>
  <si>
    <t>Semáforo</t>
  </si>
  <si>
    <t>Mensaje</t>
  </si>
  <si>
    <t>¿Para qué sirve?</t>
  </si>
  <si>
    <t>Soporte principal</t>
  </si>
  <si>
    <t>Pertinencia Sostenible</t>
  </si>
  <si>
    <t>Resume energía, eficiencia, emisiones y agua.</t>
  </si>
  <si>
    <t>PSO1–PSO5</t>
  </si>
  <si>
    <t>Pertinencia Normativa</t>
  </si>
  <si>
    <t>Resume política, regulación, cumplimiento y gobernanza.</t>
  </si>
  <si>
    <t>PN1–PN5</t>
  </si>
  <si>
    <t>Pertinencia Social</t>
  </si>
  <si>
    <t>Resume formación, brechas, empleabilidad y actualización del talento.</t>
  </si>
  <si>
    <t>PS1–PS5</t>
  </si>
  <si>
    <t>Pertinencia Tecnológica</t>
  </si>
  <si>
    <t>Resume laboratorios, TRL, diseño/pruebas, manufactura y proyectos.</t>
  </si>
  <si>
    <t>PT1–PT5</t>
  </si>
  <si>
    <t>Pertinencia Económica</t>
  </si>
  <si>
    <t>Resume tamaño, crecimiento e impacto económico del mercado.</t>
  </si>
  <si>
    <t>PE1–PE4</t>
  </si>
  <si>
    <t>SAM 2025</t>
  </si>
  <si>
    <t>RANGO</t>
  </si>
  <si>
    <t>Estimación triangulada; no representa ventas observadas.</t>
  </si>
  <si>
    <t>Dimensiona el mercado atendible de referencia 2025.</t>
  </si>
  <si>
    <t>PE1 + proxies A–C</t>
  </si>
  <si>
    <t>SAM 2030</t>
  </si>
  <si>
    <t>PROYECCIÓN</t>
  </si>
  <si>
    <t>Escenario proyectado; debe leerse con sus supuestos.</t>
  </si>
  <si>
    <t>Dimensiona el mercado atendible esperado hacia 2030.</t>
  </si>
  <si>
    <t>PE1–PE2 + proxies</t>
  </si>
  <si>
    <t>TUS 39 INDICADORES · ¿PARA QUÉ SIRVEN Y DÓNDE QUEDARON EN LOS 7 DE LA WEB?</t>
  </si>
  <si>
    <t>Indicador</t>
  </si>
  <si>
    <t>Dimensión</t>
  </si>
  <si>
    <t>Relación con web</t>
  </si>
  <si>
    <t>Tarjeta web</t>
  </si>
  <si>
    <t>Tamaño del SAM regional</t>
  </si>
  <si>
    <t>Dimensionar el mercado atendible regional.</t>
  </si>
  <si>
    <t>Económica</t>
  </si>
  <si>
    <t>Directa</t>
  </si>
  <si>
    <t>Económica / SAM</t>
  </si>
  <si>
    <t>Medir ritmo esperado de crecimiento.</t>
  </si>
  <si>
    <t>Económica / SAM 2030</t>
  </si>
  <si>
    <t>Medir integración productiva regional.</t>
  </si>
  <si>
    <t>Estimar efecto económico de la inversión.</t>
  </si>
  <si>
    <t>DM1</t>
  </si>
  <si>
    <t>Demanda inducida automotriz</t>
  </si>
  <si>
    <t>Estimar demanda sector automotriz.</t>
  </si>
  <si>
    <t>Demanda</t>
  </si>
  <si>
    <t>Indirecta</t>
  </si>
  <si>
    <t>DM2</t>
  </si>
  <si>
    <t>Demanda inducida aeroespacial</t>
  </si>
  <si>
    <t>Estimar demanda sector aeroespacial.</t>
  </si>
  <si>
    <t>DM3</t>
  </si>
  <si>
    <t>Demanda inducida centros de datos</t>
  </si>
  <si>
    <t>Estimar demanda de centros de datos.</t>
  </si>
  <si>
    <t>DM4</t>
  </si>
  <si>
    <t>Concentración de sectores estratégicos</t>
  </si>
  <si>
    <t>Medir dependencia de pocos sectores.</t>
  </si>
  <si>
    <t>No visible directa</t>
  </si>
  <si>
    <t>Sin tarjeta propia</t>
  </si>
  <si>
    <t>DM5</t>
  </si>
  <si>
    <t>Elasticidad del crecimiento sectorial</t>
  </si>
  <si>
    <t>Medir respuesta de capacidad ante demanda.</t>
  </si>
  <si>
    <t>Laboratorios especializados existentes</t>
  </si>
  <si>
    <t>Medir capacidad de laboratorios/equipos.</t>
  </si>
  <si>
    <t>Tecnológica</t>
  </si>
  <si>
    <t>Nivel de madurez tecnológica (TRL)</t>
  </si>
  <si>
    <t>Medir madurez tecnológica.</t>
  </si>
  <si>
    <t>Medir oferta formal de diseño/pruebas.</t>
  </si>
  <si>
    <t>Capacidad instalada EMS/PCBA</t>
  </si>
  <si>
    <t>Medir capacidad de manufactura electrónica.</t>
  </si>
  <si>
    <t>Proyectos activos del ecosistema</t>
  </si>
  <si>
    <t>Medir dinamismo de proyectos.</t>
  </si>
  <si>
    <t>PC1</t>
  </si>
  <si>
    <t>Costo energético competitivo</t>
  </si>
  <si>
    <t>Comparar costo energético con benchmark.</t>
  </si>
  <si>
    <t>Competitividad</t>
  </si>
  <si>
    <t>PC2</t>
  </si>
  <si>
    <t>Disponibilidad de energéticos (MW)</t>
  </si>
  <si>
    <t>Medir capacidad eléctrica disponible.</t>
  </si>
  <si>
    <t>PC3</t>
  </si>
  <si>
    <t>Infraestructura logística</t>
  </si>
  <si>
    <t>Medir conectividad logística/digital.</t>
  </si>
  <si>
    <t>PC4</t>
  </si>
  <si>
    <t>Especialización manufacturera</t>
  </si>
  <si>
    <t>Medir complejidad productiva.</t>
  </si>
  <si>
    <t>PC5</t>
  </si>
  <si>
    <t>Lead time de nuevas inversiones</t>
  </si>
  <si>
    <t>Medir tiempo de habilitación de inversiones.</t>
  </si>
  <si>
    <t>Medir oferta anual de talento.</t>
  </si>
  <si>
    <t>Social</t>
  </si>
  <si>
    <t>Brechas de talento</t>
  </si>
  <si>
    <t>Medir déficit de competencias.</t>
  </si>
  <si>
    <t>Medir inserción laboral.</t>
  </si>
  <si>
    <t>Medir actualización/certificación docente.</t>
  </si>
  <si>
    <t>Medir oferta de programas especializados.</t>
  </si>
  <si>
    <t>Medir instrumentos de política pública.</t>
  </si>
  <si>
    <t>Normativa</t>
  </si>
  <si>
    <t>Regulación energética</t>
  </si>
  <si>
    <t>Medir madurez regulatoria.</t>
  </si>
  <si>
    <t>Alineación T-MEC</t>
  </si>
  <si>
    <t>Medir cumplimiento comercial aplicable.</t>
  </si>
  <si>
    <t>Colaboraciones tipo CHIPS Act</t>
  </si>
  <si>
    <t>Medir colaboración internacional.</t>
  </si>
  <si>
    <t>Medir coordinación del ecosistema.</t>
  </si>
  <si>
    <t>Medir participación de energía renovable.</t>
  </si>
  <si>
    <t>Sostenible</t>
  </si>
  <si>
    <t>Medir adopción de certificaciones.</t>
  </si>
  <si>
    <t>Medir eficiencia energética.</t>
  </si>
  <si>
    <t>Huella ambiental</t>
  </si>
  <si>
    <t>Medir impacto ambiental/emisiones.</t>
  </si>
  <si>
    <t>Gestión hídrica</t>
  </si>
  <si>
    <t>Medir uso, reúso y tratamiento de agua.</t>
  </si>
  <si>
    <t>PI1</t>
  </si>
  <si>
    <t>MW energizados</t>
  </si>
  <si>
    <t>Medir capacidad eléctrica energizada.</t>
  </si>
  <si>
    <t>Infraestructural</t>
  </si>
  <si>
    <t>PI2</t>
  </si>
  <si>
    <t>Fibra óptica disponible</t>
  </si>
  <si>
    <t>Medir capacidad/cobertura de fibra.</t>
  </si>
  <si>
    <t>PI3</t>
  </si>
  <si>
    <t>Espacio industrial especializado</t>
  </si>
  <si>
    <t>Medir disponibilidad de espacio.</t>
  </si>
  <si>
    <t>PI4</t>
  </si>
  <si>
    <t>Conectividad logística internacional</t>
  </si>
  <si>
    <t>Medir acceso a nodos internacionales.</t>
  </si>
  <si>
    <t>PI5</t>
  </si>
  <si>
    <t>Pruebas y prototipos</t>
  </si>
  <si>
    <t>Medir capacidades de prueba/prototipado.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</si>
</sst>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name val="Carlito"/>
    </font>
    <font>
      <b/>
      <sz val="16"/>
      <color rgb="FFFFFFFF"/>
      <name val="Carlito"/>
    </font>
    <font>
      <b/>
      <sz val="12"/>
      <color rgb="FFFFFFFF"/>
      <name val="Carlito"/>
    </font>
    <font>
      <b/>
      <sz val="11"/>
      <color rgb="FF123B6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5"/>
      <color rgb="FFFFFFFF"/>
      <name val="Carlito"/>
    </font>
    <font>
      <i/>
      <sz val="11"/>
      <color rgb="FF1F2937"/>
      <name val="Carlito"/>
    </font>
    <font>
      <b/>
      <sz val="13"/>
      <name val="Carlito"/>
    </font>
    <font>
      <b/>
      <sz val="11"/>
      <name val="Carlito"/>
    </font>
    <font>
      <b/>
      <sz val="11"/>
      <color rgb="FF2E7D32"/>
      <name val="Carlito"/>
    </font>
    <font>
      <b/>
      <sz val="14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23B67"/>
      </patternFill>
    </fill>
    <fill>
      <patternFill patternType="solid">
        <fgColor rgb="FF007C91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EF4F7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5" fillId="2" borderId="0" xfId="0" applyFont="1" applyFill="1" applyAlignment="1">
      <alignment horizontal="center" wrapText="1"/>
    </xf>
    <xf numFmtId="0" fontId="0" fillId="9" borderId="0" xfId="0" applyFill="1" applyAlignment="1">
      <alignment wrapText="1"/>
    </xf>
    <xf numFmtId="0" fontId="11" fillId="6" borderId="0" xfId="0" applyFont="1" applyFill="1" applyAlignment="1">
      <alignment wrapText="1"/>
    </xf>
    <xf numFmtId="10" fontId="11" fillId="6" borderId="0" xfId="0" applyNumberFormat="1" applyFont="1" applyFill="1" applyAlignment="1">
      <alignment wrapText="1"/>
    </xf>
    <xf numFmtId="0" fontId="5" fillId="3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9" borderId="0" xfId="0" applyFont="1" applyFill="1" applyAlignment="1">
      <alignment wrapText="1"/>
    </xf>
    <xf numFmtId="0" fontId="7" fillId="2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5" fillId="2" borderId="0" xfId="0" applyFont="1" applyFill="1" applyAlignment="1">
      <alignment horizontal="center" wrapText="1"/>
    </xf>
    <xf numFmtId="164" fontId="9" fillId="6" borderId="0" xfId="0" applyNumberFormat="1" applyFont="1" applyFill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27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A9" workbookViewId="0">
      <selection sqref="A1:H1"/>
    </sheetView>
  </sheetViews>
  <sheetFormatPr baseColWidth="10" defaultColWidth="9" defaultRowHeight="14.25"/>
  <cols>
    <col min="1" max="1" width="15" customWidth="1"/>
    <col min="2" max="2" width="34" customWidth="1"/>
    <col min="3" max="3" width="60" customWidth="1"/>
    <col min="4" max="4" width="4" customWidth="1"/>
    <col min="5" max="5" width="20" customWidth="1"/>
    <col min="6" max="6" width="46" customWidth="1"/>
    <col min="7" max="8" width="14" customWidth="1"/>
  </cols>
  <sheetData>
    <row r="1" spans="1:8" ht="30" customHeight="1">
      <c r="A1" s="20" t="s">
        <v>0</v>
      </c>
      <c r="B1" s="20"/>
      <c r="C1" s="20"/>
      <c r="D1" s="20"/>
      <c r="E1" s="20"/>
      <c r="F1" s="20"/>
      <c r="G1" s="20"/>
      <c r="H1" s="20"/>
    </row>
    <row r="3" spans="1:8" ht="15.75">
      <c r="A3" s="21" t="s">
        <v>1</v>
      </c>
      <c r="B3" s="21"/>
      <c r="C3" s="21"/>
      <c r="D3" s="21"/>
      <c r="E3" s="21" t="s">
        <v>2</v>
      </c>
      <c r="F3" s="21"/>
      <c r="G3" s="21"/>
      <c r="H3" s="21"/>
    </row>
    <row r="5" spans="1:8" ht="15">
      <c r="A5" s="3" t="s">
        <v>3</v>
      </c>
      <c r="B5" s="4" t="s">
        <v>4</v>
      </c>
      <c r="C5" s="1" t="s">
        <v>5</v>
      </c>
      <c r="E5" s="5" t="s">
        <v>6</v>
      </c>
      <c r="F5" t="s">
        <v>7</v>
      </c>
    </row>
    <row r="6" spans="1:8" ht="30">
      <c r="A6" s="3" t="s">
        <v>8</v>
      </c>
      <c r="B6" s="4" t="s">
        <v>9</v>
      </c>
      <c r="C6" s="1" t="s">
        <v>10</v>
      </c>
      <c r="E6" s="6" t="s">
        <v>11</v>
      </c>
      <c r="F6" t="s">
        <v>12</v>
      </c>
    </row>
    <row r="7" spans="1:8" ht="15">
      <c r="A7" s="3" t="s">
        <v>13</v>
      </c>
      <c r="B7" s="4" t="s">
        <v>14</v>
      </c>
      <c r="C7" s="1" t="s">
        <v>15</v>
      </c>
      <c r="E7" s="7" t="s">
        <v>16</v>
      </c>
      <c r="F7" t="s">
        <v>17</v>
      </c>
    </row>
    <row r="8" spans="1:8" ht="29.25">
      <c r="A8" s="3" t="s">
        <v>18</v>
      </c>
      <c r="B8" s="4" t="s">
        <v>19</v>
      </c>
      <c r="C8" s="1" t="s">
        <v>20</v>
      </c>
      <c r="E8" s="5" t="s">
        <v>6</v>
      </c>
      <c r="F8" t="s">
        <v>21</v>
      </c>
    </row>
    <row r="9" spans="1:8" ht="30">
      <c r="A9" s="3" t="s">
        <v>22</v>
      </c>
      <c r="B9" s="4" t="s">
        <v>23</v>
      </c>
      <c r="C9" s="1" t="s">
        <v>24</v>
      </c>
      <c r="E9" s="8" t="s">
        <v>25</v>
      </c>
      <c r="F9" t="s">
        <v>26</v>
      </c>
    </row>
    <row r="10" spans="1:8">
      <c r="E10" s="9" t="s">
        <v>27</v>
      </c>
      <c r="F10" t="s">
        <v>28</v>
      </c>
    </row>
    <row r="12" spans="1:8" ht="15">
      <c r="A12" s="22" t="s">
        <v>29</v>
      </c>
      <c r="B12" s="22"/>
      <c r="C12" s="22"/>
      <c r="D12" s="22"/>
      <c r="E12" s="22"/>
      <c r="F12" s="22"/>
      <c r="G12" s="22"/>
      <c r="H12" s="22"/>
    </row>
    <row r="14" spans="1:8" ht="28.5">
      <c r="A14" s="10" t="s">
        <v>30</v>
      </c>
      <c r="B14" s="1" t="s">
        <v>31</v>
      </c>
      <c r="C14" s="1" t="s">
        <v>32</v>
      </c>
    </row>
    <row r="15" spans="1:8" ht="28.5">
      <c r="A15" s="11" t="s">
        <v>33</v>
      </c>
      <c r="B15" s="1" t="s">
        <v>34</v>
      </c>
      <c r="C15" s="1" t="s">
        <v>35</v>
      </c>
    </row>
    <row r="16" spans="1:8" ht="28.5">
      <c r="A16" s="12" t="s">
        <v>36</v>
      </c>
      <c r="B16" s="1" t="s">
        <v>37</v>
      </c>
      <c r="C16" s="1" t="s">
        <v>38</v>
      </c>
    </row>
    <row r="17" spans="1:8" ht="28.5">
      <c r="A17" s="13" t="s">
        <v>39</v>
      </c>
      <c r="B17" s="1" t="s">
        <v>40</v>
      </c>
      <c r="C17" s="1" t="s">
        <v>41</v>
      </c>
    </row>
    <row r="19" spans="1:8">
      <c r="A19" s="23" t="s">
        <v>42</v>
      </c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</sheetData>
  <mergeCells count="4">
    <mergeCell ref="A1:H1"/>
    <mergeCell ref="A3:H3"/>
    <mergeCell ref="A12:H12"/>
    <mergeCell ref="A19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tabSelected="1" topLeftCell="A4" zoomScale="90" zoomScaleNormal="90" workbookViewId="0">
      <selection activeCell="D14" sqref="D14:E14"/>
    </sheetView>
  </sheetViews>
  <sheetFormatPr baseColWidth="10" defaultColWidth="9" defaultRowHeight="14.25"/>
  <cols>
    <col min="1" max="1" width="12" customWidth="1"/>
    <col min="2" max="2" width="31" customWidth="1"/>
    <col min="3" max="3" width="17" customWidth="1"/>
    <col min="4" max="7" width="16" customWidth="1"/>
    <col min="8" max="8" width="11" customWidth="1"/>
    <col min="9" max="9" width="12" customWidth="1"/>
    <col min="10" max="11" width="42" customWidth="1"/>
  </cols>
  <sheetData>
    <row r="1" spans="1:11" ht="19.5">
      <c r="A1" s="24" t="s">
        <v>43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25" t="s">
        <v>44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>
      <c r="A4" s="26" t="s">
        <v>45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27" t="s">
        <v>46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14" t="s">
        <v>47</v>
      </c>
      <c r="B7" s="14" t="s">
        <v>48</v>
      </c>
      <c r="C7" s="14" t="s">
        <v>49</v>
      </c>
      <c r="D7" s="14" t="s">
        <v>50</v>
      </c>
      <c r="E7" s="14" t="s">
        <v>51</v>
      </c>
      <c r="F7" s="14" t="s">
        <v>52</v>
      </c>
      <c r="G7" s="14" t="s">
        <v>53</v>
      </c>
      <c r="H7" s="14" t="s">
        <v>54</v>
      </c>
      <c r="I7" s="14" t="s">
        <v>55</v>
      </c>
      <c r="J7" s="14" t="s">
        <v>56</v>
      </c>
      <c r="K7" s="14" t="s">
        <v>57</v>
      </c>
    </row>
    <row r="8" spans="1:11" ht="42.75">
      <c r="A8" s="1" t="s">
        <v>58</v>
      </c>
      <c r="B8" s="1" t="s">
        <v>59</v>
      </c>
      <c r="C8" s="1" t="s">
        <v>60</v>
      </c>
      <c r="D8" s="12">
        <v>100</v>
      </c>
      <c r="E8" s="12">
        <v>0</v>
      </c>
      <c r="F8" s="12">
        <v>100</v>
      </c>
      <c r="G8" s="2">
        <f>IF(OR(D8="",E8="",F8=""),"",IF(E8=F8,"",IF(C8="Más es mejor",MAX(0,MIN(100,(D8-E8)/(F8-E8)*100)),MAX(0,MIN(100,(E8-D8)/(E8-F8)*100)))))</f>
        <v>100</v>
      </c>
      <c r="H8" s="11">
        <v>20</v>
      </c>
      <c r="I8" s="2">
        <f>IF(OR(G8="",H8=""),"",G8*H8/100)</f>
        <v>20</v>
      </c>
      <c r="J8" s="1" t="s">
        <v>61</v>
      </c>
      <c r="K8" s="15" t="s">
        <v>62</v>
      </c>
    </row>
    <row r="9" spans="1:11" ht="42.75">
      <c r="A9" s="1" t="s">
        <v>63</v>
      </c>
      <c r="B9" s="1" t="s">
        <v>64</v>
      </c>
      <c r="C9" s="1" t="s">
        <v>60</v>
      </c>
      <c r="D9" s="12">
        <v>1500</v>
      </c>
      <c r="E9" s="12">
        <v>0</v>
      </c>
      <c r="F9" s="12">
        <v>100</v>
      </c>
      <c r="G9" s="2">
        <f>IF(OR(D9="",E9="",F9=""),"",IF(E9=F9,"",IF(C9="Más es mejor",MAX(0,MIN(100,(D9-E9)/(F9-E9)*100)),MAX(0,MIN(100,(E9-D9)/(E9-F9)*100)))))</f>
        <v>100</v>
      </c>
      <c r="H9" s="11">
        <v>20</v>
      </c>
      <c r="I9" s="2">
        <f>IF(OR(G9="",H9=""),"",G9*H9/100)</f>
        <v>20</v>
      </c>
      <c r="J9" s="1" t="s">
        <v>65</v>
      </c>
      <c r="K9" s="15" t="s">
        <v>62</v>
      </c>
    </row>
    <row r="10" spans="1:11" ht="42.75">
      <c r="A10" s="1" t="s">
        <v>66</v>
      </c>
      <c r="B10" s="1" t="s">
        <v>67</v>
      </c>
      <c r="C10" s="1" t="s">
        <v>68</v>
      </c>
      <c r="D10" s="12">
        <v>13232</v>
      </c>
      <c r="E10" s="12">
        <v>100</v>
      </c>
      <c r="F10" s="12">
        <v>0</v>
      </c>
      <c r="G10" s="2">
        <f>IF(OR(D10="",E10="",F10=""),"",IF(E10=F10,"",IF(C10="Más es mejor",MAX(0,MIN(100,(D10-E10)/(F10-E10)*100)),MAX(0,MIN(100,(E10-D10)/(E10-F10)*100)))))</f>
        <v>0</v>
      </c>
      <c r="H10" s="11">
        <v>20</v>
      </c>
      <c r="I10" s="2">
        <f>IF(OR(G10="",H10=""),"",G10*H10/100)</f>
        <v>0</v>
      </c>
      <c r="J10" s="1" t="s">
        <v>69</v>
      </c>
      <c r="K10" s="15" t="s">
        <v>62</v>
      </c>
    </row>
    <row r="11" spans="1:11" ht="42.75">
      <c r="A11" s="1" t="s">
        <v>70</v>
      </c>
      <c r="B11" s="1" t="s">
        <v>71</v>
      </c>
      <c r="C11" s="1" t="s">
        <v>68</v>
      </c>
      <c r="D11" s="12">
        <v>80</v>
      </c>
      <c r="E11" s="12">
        <v>100</v>
      </c>
      <c r="F11" s="12">
        <v>0</v>
      </c>
      <c r="G11" s="2">
        <f>IF(OR(D11="",E11="",F11=""),"",IF(E11=F11,"",IF(C11="Más es mejor",MAX(0,MIN(100,(D11-E11)/(F11-E11)*100)),MAX(0,MIN(100,(E11-D11)/(E11-F11)*100)))))</f>
        <v>20</v>
      </c>
      <c r="H11" s="11">
        <v>20</v>
      </c>
      <c r="I11" s="2">
        <f>IF(OR(G11="",H11=""),"",G11*H11/100)</f>
        <v>4</v>
      </c>
      <c r="J11" s="1" t="s">
        <v>72</v>
      </c>
      <c r="K11" s="15" t="s">
        <v>62</v>
      </c>
    </row>
    <row r="12" spans="1:11" ht="42.75">
      <c r="A12" s="1" t="s">
        <v>73</v>
      </c>
      <c r="B12" s="1" t="s">
        <v>74</v>
      </c>
      <c r="C12" s="1" t="s">
        <v>60</v>
      </c>
      <c r="D12" s="12">
        <v>1200</v>
      </c>
      <c r="E12" s="12">
        <v>0</v>
      </c>
      <c r="F12" s="12">
        <v>100</v>
      </c>
      <c r="G12" s="2">
        <f>IF(OR(D12="",E12="",F12=""),"",IF(E12=F12,"",IF(C12="Más es mejor",MAX(0,MIN(100,(D12-E12)/(F12-E12)*100)),MAX(0,MIN(100,(E12-D12)/(E12-F12)*100)))))</f>
        <v>100</v>
      </c>
      <c r="H12" s="11">
        <v>20</v>
      </c>
      <c r="I12" s="2">
        <f>IF(OR(G12="",H12=""),"",G12*H12/100)</f>
        <v>20</v>
      </c>
      <c r="J12" s="1" t="s">
        <v>75</v>
      </c>
      <c r="K12" s="15" t="s">
        <v>62</v>
      </c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6.5">
      <c r="A14" s="28" t="s">
        <v>76</v>
      </c>
      <c r="B14" s="28"/>
      <c r="C14" s="28"/>
      <c r="D14" s="29">
        <f>IF(COUNT(G8:G12)=0,"",SUM(I8:I12)/(SUM(H8:H12)/100))</f>
        <v>64</v>
      </c>
      <c r="E14" s="30"/>
      <c r="F14" s="31" t="str">
        <f>IF(D14="","CAPTURA LOS DATOS AMARILLOS",IF(D14&lt;40,"ATENCIÓN PRIORITARIA · revisa los subindicadores con menor puntaje",IF(D14&lt;60,"NIVEL BAJO / EN DESARROLLO · existen brechas importantes",IF(D14&lt;80,"NIVEL MEDIO · situación aceptable con áreas de mejora","NIVEL ALTO / FAVORABLE · condiciones sólidas respecto a tus referencias"))))</f>
        <v>NIVEL MEDIO · situación aceptable con áreas de mejora</v>
      </c>
      <c r="G14" s="31"/>
      <c r="H14" s="31"/>
      <c r="I14" s="31"/>
      <c r="J14" s="31"/>
      <c r="K14" s="3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.75">
      <c r="A17" s="26" t="s">
        <v>77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>
      <c r="A18" s="27" t="s">
        <v>78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>
      <c r="A20" s="14" t="s">
        <v>47</v>
      </c>
      <c r="B20" s="14" t="s">
        <v>48</v>
      </c>
      <c r="C20" s="14" t="s">
        <v>49</v>
      </c>
      <c r="D20" s="14" t="s">
        <v>50</v>
      </c>
      <c r="E20" s="14" t="s">
        <v>51</v>
      </c>
      <c r="F20" s="14" t="s">
        <v>52</v>
      </c>
      <c r="G20" s="14" t="s">
        <v>53</v>
      </c>
      <c r="H20" s="14" t="s">
        <v>54</v>
      </c>
      <c r="I20" s="14" t="s">
        <v>55</v>
      </c>
      <c r="J20" s="14" t="s">
        <v>56</v>
      </c>
      <c r="K20" s="14" t="s">
        <v>57</v>
      </c>
    </row>
    <row r="21" spans="1:11" ht="42.75">
      <c r="A21" s="1" t="s">
        <v>79</v>
      </c>
      <c r="B21" s="1" t="s">
        <v>80</v>
      </c>
      <c r="C21" s="1" t="s">
        <v>60</v>
      </c>
      <c r="D21" s="12"/>
      <c r="E21" s="12"/>
      <c r="F21" s="12"/>
      <c r="G21" s="2" t="str">
        <f>IF(OR(D21="",E21="",F21=""),"",IF(E21=F21,"",IF(C21="Más es mejor",MAX(0,MIN(100,(D21-E21)/(F21-E21)*100)),MAX(0,MIN(100,(E21-D21)/(E21-F21)*100)))))</f>
        <v/>
      </c>
      <c r="H21" s="11">
        <v>20</v>
      </c>
      <c r="I21" s="2" t="str">
        <f>IF(OR(G21="",H21=""),"",G21*H21/100)</f>
        <v/>
      </c>
      <c r="J21" s="1" t="s">
        <v>81</v>
      </c>
      <c r="K21" s="15" t="s">
        <v>62</v>
      </c>
    </row>
    <row r="22" spans="1:11" ht="42.75">
      <c r="A22" s="1" t="s">
        <v>82</v>
      </c>
      <c r="B22" s="1" t="s">
        <v>83</v>
      </c>
      <c r="C22" s="1" t="s">
        <v>60</v>
      </c>
      <c r="D22" s="12"/>
      <c r="E22" s="12"/>
      <c r="F22" s="12"/>
      <c r="G22" s="2" t="str">
        <f>IF(OR(D22="",E22="",F22=""),"",IF(E22=F22,"",IF(C22="Más es mejor",MAX(0,MIN(100,(D22-E22)/(F22-E22)*100)),MAX(0,MIN(100,(E22-D22)/(E22-F22)*100)))))</f>
        <v/>
      </c>
      <c r="H22" s="11">
        <v>20</v>
      </c>
      <c r="I22" s="2" t="str">
        <f>IF(OR(G22="",H22=""),"",G22*H22/100)</f>
        <v/>
      </c>
      <c r="J22" s="1" t="s">
        <v>84</v>
      </c>
      <c r="K22" s="15" t="s">
        <v>62</v>
      </c>
    </row>
    <row r="23" spans="1:11" ht="42.75">
      <c r="A23" s="1" t="s">
        <v>85</v>
      </c>
      <c r="B23" s="1" t="s">
        <v>86</v>
      </c>
      <c r="C23" s="1" t="s">
        <v>60</v>
      </c>
      <c r="D23" s="12"/>
      <c r="E23" s="12"/>
      <c r="F23" s="12"/>
      <c r="G23" s="2" t="str">
        <f>IF(OR(D23="",E23="",F23=""),"",IF(E23=F23,"",IF(C23="Más es mejor",MAX(0,MIN(100,(D23-E23)/(F23-E23)*100)),MAX(0,MIN(100,(E23-D23)/(E23-F23)*100)))))</f>
        <v/>
      </c>
      <c r="H23" s="11">
        <v>20</v>
      </c>
      <c r="I23" s="2" t="str">
        <f>IF(OR(G23="",H23=""),"",G23*H23/100)</f>
        <v/>
      </c>
      <c r="J23" s="1" t="s">
        <v>87</v>
      </c>
      <c r="K23" s="15" t="s">
        <v>62</v>
      </c>
    </row>
    <row r="24" spans="1:11" ht="42.75">
      <c r="A24" s="1" t="s">
        <v>88</v>
      </c>
      <c r="B24" s="1" t="s">
        <v>89</v>
      </c>
      <c r="C24" s="1" t="s">
        <v>60</v>
      </c>
      <c r="D24" s="12"/>
      <c r="E24" s="12"/>
      <c r="F24" s="12"/>
      <c r="G24" s="2" t="str">
        <f>IF(OR(D24="",E24="",F24=""),"",IF(E24=F24,"",IF(C24="Más es mejor",MAX(0,MIN(100,(D24-E24)/(F24-E24)*100)),MAX(0,MIN(100,(E24-D24)/(E24-F24)*100)))))</f>
        <v/>
      </c>
      <c r="H24" s="11">
        <v>20</v>
      </c>
      <c r="I24" s="2" t="str">
        <f>IF(OR(G24="",H24=""),"",G24*H24/100)</f>
        <v/>
      </c>
      <c r="J24" s="1" t="s">
        <v>90</v>
      </c>
      <c r="K24" s="15" t="s">
        <v>62</v>
      </c>
    </row>
    <row r="25" spans="1:11" ht="42.75">
      <c r="A25" s="1" t="s">
        <v>91</v>
      </c>
      <c r="B25" s="1" t="s">
        <v>92</v>
      </c>
      <c r="C25" s="1" t="s">
        <v>60</v>
      </c>
      <c r="D25" s="12"/>
      <c r="E25" s="12"/>
      <c r="F25" s="12"/>
      <c r="G25" s="2" t="str">
        <f>IF(OR(D25="",E25="",F25=""),"",IF(E25=F25,"",IF(C25="Más es mejor",MAX(0,MIN(100,(D25-E25)/(F25-E25)*100)),MAX(0,MIN(100,(E25-D25)/(E25-F25)*100)))))</f>
        <v/>
      </c>
      <c r="H25" s="11">
        <v>20</v>
      </c>
      <c r="I25" s="2" t="str">
        <f>IF(OR(G25="",H25=""),"",G25*H25/100)</f>
        <v/>
      </c>
      <c r="J25" s="1" t="s">
        <v>93</v>
      </c>
      <c r="K25" s="15" t="s">
        <v>62</v>
      </c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6.5">
      <c r="A27" s="28" t="s">
        <v>76</v>
      </c>
      <c r="B27" s="28"/>
      <c r="C27" s="28"/>
      <c r="D27" s="29" t="str">
        <f>IF(COUNT(G21:G25)=0,"",SUM(I21:I25)/(SUM(H21:H25)/100))</f>
        <v/>
      </c>
      <c r="E27" s="30"/>
      <c r="F27" s="31" t="str">
        <f>IF(D27="","CAPTURA LOS DATOS AMARILLOS",IF(D27&lt;40,"ATENCIÓN PRIORITARIA · revisa los subindicadores con menor puntaje",IF(D27&lt;60,"NIVEL BAJO / EN DESARROLLO · existen brechas importantes",IF(D27&lt;80,"NIVEL MEDIO · situación aceptable con áreas de mejora","NIVEL ALTO / FAVORABLE · condiciones sólidas respecto a tus referencias"))))</f>
        <v>CAPTURA LOS DATOS AMARILLOS</v>
      </c>
      <c r="G27" s="31"/>
      <c r="H27" s="31"/>
      <c r="I27" s="31"/>
      <c r="J27" s="31"/>
      <c r="K27" s="3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>
      <c r="A30" s="26" t="s">
        <v>94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>
      <c r="A31" s="27" t="s">
        <v>95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">
      <c r="A33" s="14" t="s">
        <v>47</v>
      </c>
      <c r="B33" s="14" t="s">
        <v>48</v>
      </c>
      <c r="C33" s="14" t="s">
        <v>49</v>
      </c>
      <c r="D33" s="14" t="s">
        <v>50</v>
      </c>
      <c r="E33" s="14" t="s">
        <v>51</v>
      </c>
      <c r="F33" s="14" t="s">
        <v>52</v>
      </c>
      <c r="G33" s="14" t="s">
        <v>53</v>
      </c>
      <c r="H33" s="14" t="s">
        <v>54</v>
      </c>
      <c r="I33" s="14" t="s">
        <v>55</v>
      </c>
      <c r="J33" s="14" t="s">
        <v>56</v>
      </c>
      <c r="K33" s="14" t="s">
        <v>57</v>
      </c>
    </row>
    <row r="34" spans="1:11" ht="42.75">
      <c r="A34" s="1" t="s">
        <v>96</v>
      </c>
      <c r="B34" s="1" t="s">
        <v>97</v>
      </c>
      <c r="C34" s="1" t="s">
        <v>60</v>
      </c>
      <c r="D34" s="12"/>
      <c r="E34" s="12"/>
      <c r="F34" s="12"/>
      <c r="G34" s="2" t="str">
        <f>IF(OR(D34="",E34="",F34=""),"",IF(E34=F34,"",IF(C34="Más es mejor",MAX(0,MIN(100,(D34-E34)/(F34-E34)*100)),MAX(0,MIN(100,(E34-D34)/(E34-F34)*100)))))</f>
        <v/>
      </c>
      <c r="H34" s="11">
        <v>20</v>
      </c>
      <c r="I34" s="2" t="str">
        <f>IF(OR(G34="",H34=""),"",G34*H34/100)</f>
        <v/>
      </c>
      <c r="J34" s="1" t="s">
        <v>98</v>
      </c>
      <c r="K34" s="15" t="s">
        <v>62</v>
      </c>
    </row>
    <row r="35" spans="1:11" ht="42.75">
      <c r="A35" s="1" t="s">
        <v>99</v>
      </c>
      <c r="B35" s="1" t="s">
        <v>100</v>
      </c>
      <c r="C35" s="1" t="s">
        <v>68</v>
      </c>
      <c r="D35" s="12"/>
      <c r="E35" s="12"/>
      <c r="F35" s="12"/>
      <c r="G35" s="2" t="str">
        <f>IF(OR(D35="",E35="",F35=""),"",IF(E35=F35,"",IF(C35="Más es mejor",MAX(0,MIN(100,(D35-E35)/(F35-E35)*100)),MAX(0,MIN(100,(E35-D35)/(E35-F35)*100)))))</f>
        <v/>
      </c>
      <c r="H35" s="11">
        <v>20</v>
      </c>
      <c r="I35" s="2" t="str">
        <f>IF(OR(G35="",H35=""),"",G35*H35/100)</f>
        <v/>
      </c>
      <c r="J35" s="1" t="s">
        <v>101</v>
      </c>
      <c r="K35" s="15" t="s">
        <v>62</v>
      </c>
    </row>
    <row r="36" spans="1:11" ht="42.75">
      <c r="A36" s="1" t="s">
        <v>102</v>
      </c>
      <c r="B36" s="1" t="s">
        <v>103</v>
      </c>
      <c r="C36" s="1" t="s">
        <v>60</v>
      </c>
      <c r="D36" s="12"/>
      <c r="E36" s="12"/>
      <c r="F36" s="12"/>
      <c r="G36" s="2" t="str">
        <f>IF(OR(D36="",E36="",F36=""),"",IF(E36=F36,"",IF(C36="Más es mejor",MAX(0,MIN(100,(D36-E36)/(F36-E36)*100)),MAX(0,MIN(100,(E36-D36)/(E36-F36)*100)))))</f>
        <v/>
      </c>
      <c r="H36" s="11">
        <v>20</v>
      </c>
      <c r="I36" s="2" t="str">
        <f>IF(OR(G36="",H36=""),"",G36*H36/100)</f>
        <v/>
      </c>
      <c r="J36" s="1" t="s">
        <v>104</v>
      </c>
      <c r="K36" s="15" t="s">
        <v>62</v>
      </c>
    </row>
    <row r="37" spans="1:11" ht="42.75">
      <c r="A37" s="1" t="s">
        <v>105</v>
      </c>
      <c r="B37" s="1" t="s">
        <v>106</v>
      </c>
      <c r="C37" s="1" t="s">
        <v>60</v>
      </c>
      <c r="D37" s="12"/>
      <c r="E37" s="12"/>
      <c r="F37" s="12"/>
      <c r="G37" s="2" t="str">
        <f>IF(OR(D37="",E37="",F37=""),"",IF(E37=F37,"",IF(C37="Más es mejor",MAX(0,MIN(100,(D37-E37)/(F37-E37)*100)),MAX(0,MIN(100,(E37-D37)/(E37-F37)*100)))))</f>
        <v/>
      </c>
      <c r="H37" s="11">
        <v>20</v>
      </c>
      <c r="I37" s="2" t="str">
        <f>IF(OR(G37="",H37=""),"",G37*H37/100)</f>
        <v/>
      </c>
      <c r="J37" s="1" t="s">
        <v>107</v>
      </c>
      <c r="K37" s="15" t="s">
        <v>62</v>
      </c>
    </row>
    <row r="38" spans="1:11" ht="42.75">
      <c r="A38" s="1" t="s">
        <v>108</v>
      </c>
      <c r="B38" s="1" t="s">
        <v>109</v>
      </c>
      <c r="C38" s="1" t="s">
        <v>60</v>
      </c>
      <c r="D38" s="12"/>
      <c r="E38" s="12"/>
      <c r="F38" s="12"/>
      <c r="G38" s="2" t="str">
        <f>IF(OR(D38="",E38="",F38=""),"",IF(E38=F38,"",IF(C38="Más es mejor",MAX(0,MIN(100,(D38-E38)/(F38-E38)*100)),MAX(0,MIN(100,(E38-D38)/(E38-F38)*100)))))</f>
        <v/>
      </c>
      <c r="H38" s="11">
        <v>20</v>
      </c>
      <c r="I38" s="2" t="str">
        <f>IF(OR(G38="",H38=""),"",G38*H38/100)</f>
        <v/>
      </c>
      <c r="J38" s="1" t="s">
        <v>110</v>
      </c>
      <c r="K38" s="15" t="s">
        <v>62</v>
      </c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6.5">
      <c r="A40" s="28" t="s">
        <v>76</v>
      </c>
      <c r="B40" s="28"/>
      <c r="C40" s="28"/>
      <c r="D40" s="29" t="str">
        <f>IF(COUNT(G34:G38)=0,"",SUM(I34:I38)/(SUM(H34:H38)/100))</f>
        <v/>
      </c>
      <c r="E40" s="30"/>
      <c r="F40" s="31" t="str">
        <f>IF(D40="","CAPTURA LOS DATOS AMARILLOS",IF(D40&lt;40,"ATENCIÓN PRIORITARIA · revisa los subindicadores con menor puntaje",IF(D40&lt;60,"NIVEL BAJO / EN DESARROLLO · existen brechas importantes",IF(D40&lt;80,"NIVEL MEDIO · situación aceptable con áreas de mejora","NIVEL ALTO / FAVORABLE · condiciones sólidas respecto a tus referencias"))))</f>
        <v>CAPTURA LOS DATOS AMARILLOS</v>
      </c>
      <c r="G40" s="31"/>
      <c r="H40" s="31"/>
      <c r="I40" s="31"/>
      <c r="J40" s="31"/>
      <c r="K40" s="3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>
      <c r="A43" s="26" t="s">
        <v>111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>
      <c r="A44" s="27" t="s">
        <v>112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">
      <c r="A46" s="14" t="s">
        <v>47</v>
      </c>
      <c r="B46" s="14" t="s">
        <v>48</v>
      </c>
      <c r="C46" s="14" t="s">
        <v>49</v>
      </c>
      <c r="D46" s="14" t="s">
        <v>50</v>
      </c>
      <c r="E46" s="14" t="s">
        <v>51</v>
      </c>
      <c r="F46" s="14" t="s">
        <v>52</v>
      </c>
      <c r="G46" s="14" t="s">
        <v>53</v>
      </c>
      <c r="H46" s="14" t="s">
        <v>54</v>
      </c>
      <c r="I46" s="14" t="s">
        <v>55</v>
      </c>
      <c r="J46" s="14" t="s">
        <v>56</v>
      </c>
      <c r="K46" s="14" t="s">
        <v>57</v>
      </c>
    </row>
    <row r="47" spans="1:11" ht="42.75">
      <c r="A47" s="1" t="s">
        <v>113</v>
      </c>
      <c r="B47" s="1" t="s">
        <v>114</v>
      </c>
      <c r="C47" s="1" t="s">
        <v>60</v>
      </c>
      <c r="D47" s="12"/>
      <c r="E47" s="12"/>
      <c r="F47" s="12"/>
      <c r="G47" s="2" t="str">
        <f>IF(OR(D47="",E47="",F47=""),"",IF(E47=F47,"",IF(C47="Más es mejor",MAX(0,MIN(100,(D47-E47)/(F47-E47)*100)),MAX(0,MIN(100,(E47-D47)/(E47-F47)*100)))))</f>
        <v/>
      </c>
      <c r="H47" s="11">
        <v>20</v>
      </c>
      <c r="I47" s="2" t="str">
        <f>IF(OR(G47="",H47=""),"",G47*H47/100)</f>
        <v/>
      </c>
      <c r="J47" s="1" t="s">
        <v>115</v>
      </c>
      <c r="K47" s="15" t="s">
        <v>62</v>
      </c>
    </row>
    <row r="48" spans="1:11" ht="42.75">
      <c r="A48" s="1" t="s">
        <v>116</v>
      </c>
      <c r="B48" s="1" t="s">
        <v>117</v>
      </c>
      <c r="C48" s="1" t="s">
        <v>60</v>
      </c>
      <c r="D48" s="12"/>
      <c r="E48" s="12"/>
      <c r="F48" s="12"/>
      <c r="G48" s="2" t="str">
        <f>IF(OR(D48="",E48="",F48=""),"",IF(E48=F48,"",IF(C48="Más es mejor",MAX(0,MIN(100,(D48-E48)/(F48-E48)*100)),MAX(0,MIN(100,(E48-D48)/(E48-F48)*100)))))</f>
        <v/>
      </c>
      <c r="H48" s="11">
        <v>20</v>
      </c>
      <c r="I48" s="2" t="str">
        <f>IF(OR(G48="",H48=""),"",G48*H48/100)</f>
        <v/>
      </c>
      <c r="J48" s="1" t="s">
        <v>118</v>
      </c>
      <c r="K48" s="15" t="s">
        <v>62</v>
      </c>
    </row>
    <row r="49" spans="1:11" ht="42.75">
      <c r="A49" s="1" t="s">
        <v>119</v>
      </c>
      <c r="B49" s="1" t="s">
        <v>120</v>
      </c>
      <c r="C49" s="1" t="s">
        <v>60</v>
      </c>
      <c r="D49" s="12"/>
      <c r="E49" s="12"/>
      <c r="F49" s="12"/>
      <c r="G49" s="2" t="str">
        <f>IF(OR(D49="",E49="",F49=""),"",IF(E49=F49,"",IF(C49="Más es mejor",MAX(0,MIN(100,(D49-E49)/(F49-E49)*100)),MAX(0,MIN(100,(E49-D49)/(E49-F49)*100)))))</f>
        <v/>
      </c>
      <c r="H49" s="11">
        <v>20</v>
      </c>
      <c r="I49" s="2" t="str">
        <f>IF(OR(G49="",H49=""),"",G49*H49/100)</f>
        <v/>
      </c>
      <c r="J49" s="1" t="s">
        <v>121</v>
      </c>
      <c r="K49" s="15" t="s">
        <v>62</v>
      </c>
    </row>
    <row r="50" spans="1:11" ht="42.75">
      <c r="A50" s="1" t="s">
        <v>122</v>
      </c>
      <c r="B50" s="1" t="s">
        <v>123</v>
      </c>
      <c r="C50" s="1" t="s">
        <v>60</v>
      </c>
      <c r="D50" s="12"/>
      <c r="E50" s="12"/>
      <c r="F50" s="12"/>
      <c r="G50" s="2" t="str">
        <f>IF(OR(D50="",E50="",F50=""),"",IF(E50=F50,"",IF(C50="Más es mejor",MAX(0,MIN(100,(D50-E50)/(F50-E50)*100)),MAX(0,MIN(100,(E50-D50)/(E50-F50)*100)))))</f>
        <v/>
      </c>
      <c r="H50" s="11">
        <v>20</v>
      </c>
      <c r="I50" s="2" t="str">
        <f>IF(OR(G50="",H50=""),"",G50*H50/100)</f>
        <v/>
      </c>
      <c r="J50" s="1" t="s">
        <v>124</v>
      </c>
      <c r="K50" s="15" t="s">
        <v>62</v>
      </c>
    </row>
    <row r="51" spans="1:11" ht="42.75">
      <c r="A51" s="1" t="s">
        <v>125</v>
      </c>
      <c r="B51" s="1" t="s">
        <v>126</v>
      </c>
      <c r="C51" s="1" t="s">
        <v>60</v>
      </c>
      <c r="D51" s="12"/>
      <c r="E51" s="12"/>
      <c r="F51" s="12"/>
      <c r="G51" s="2" t="str">
        <f>IF(OR(D51="",E51="",F51=""),"",IF(E51=F51,"",IF(C51="Más es mejor",MAX(0,MIN(100,(D51-E51)/(F51-E51)*100)),MAX(0,MIN(100,(E51-D51)/(E51-F51)*100)))))</f>
        <v/>
      </c>
      <c r="H51" s="11">
        <v>20</v>
      </c>
      <c r="I51" s="2" t="str">
        <f>IF(OR(G51="",H51=""),"",G51*H51/100)</f>
        <v/>
      </c>
      <c r="J51" s="1" t="s">
        <v>127</v>
      </c>
      <c r="K51" s="15" t="s">
        <v>62</v>
      </c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6.5">
      <c r="A53" s="28" t="s">
        <v>76</v>
      </c>
      <c r="B53" s="28"/>
      <c r="C53" s="28"/>
      <c r="D53" s="29" t="str">
        <f>IF(COUNT(G47:G51)=0,"",SUM(I47:I51)/(SUM(H47:H51)/100))</f>
        <v/>
      </c>
      <c r="E53" s="30"/>
      <c r="F53" s="31" t="str">
        <f>IF(D53="","CAPTURA LOS DATOS AMARILLOS",IF(D53&lt;40,"ATENCIÓN PRIORITARIA · revisa los subindicadores con menor puntaje",IF(D53&lt;60,"NIVEL BAJO / EN DESARROLLO · existen brechas importantes",IF(D53&lt;80,"NIVEL MEDIO · situación aceptable con áreas de mejora","NIVEL ALTO / FAVORABLE · condiciones sólidas respecto a tus referencias"))))</f>
        <v>CAPTURA LOS DATOS AMARILLOS</v>
      </c>
      <c r="G53" s="31"/>
      <c r="H53" s="31"/>
      <c r="I53" s="31"/>
      <c r="J53" s="31"/>
      <c r="K53" s="3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>
      <c r="A56" s="26" t="s">
        <v>128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>
      <c r="A57" s="27" t="s">
        <v>129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4" t="s">
        <v>47</v>
      </c>
      <c r="B59" s="14" t="s">
        <v>48</v>
      </c>
      <c r="C59" s="14" t="s">
        <v>49</v>
      </c>
      <c r="D59" s="14" t="s">
        <v>50</v>
      </c>
      <c r="E59" s="14" t="s">
        <v>51</v>
      </c>
      <c r="F59" s="14" t="s">
        <v>52</v>
      </c>
      <c r="G59" s="14" t="s">
        <v>53</v>
      </c>
      <c r="H59" s="14" t="s">
        <v>54</v>
      </c>
      <c r="I59" s="14" t="s">
        <v>55</v>
      </c>
      <c r="J59" s="14" t="s">
        <v>56</v>
      </c>
      <c r="K59" s="14" t="s">
        <v>57</v>
      </c>
    </row>
    <row r="60" spans="1:11" ht="42.75">
      <c r="A60" s="1" t="s">
        <v>130</v>
      </c>
      <c r="B60" s="1" t="s">
        <v>131</v>
      </c>
      <c r="C60" s="1" t="s">
        <v>60</v>
      </c>
      <c r="D60" s="12"/>
      <c r="E60" s="12"/>
      <c r="F60" s="12"/>
      <c r="G60" s="2" t="str">
        <f>IF(OR(D60="",E60="",F60=""),"",IF(E60=F60,"",IF(C60="Más es mejor",MAX(0,MIN(100,(D60-E60)/(F60-E60)*100)),MAX(0,MIN(100,(E60-D60)/(E60-F60)*100)))))</f>
        <v/>
      </c>
      <c r="H60" s="11">
        <v>25</v>
      </c>
      <c r="I60" s="2" t="str">
        <f>IF(OR(G60="",H60=""),"",G60*H60/100)</f>
        <v/>
      </c>
      <c r="J60" s="1" t="s">
        <v>132</v>
      </c>
      <c r="K60" s="15" t="s">
        <v>62</v>
      </c>
    </row>
    <row r="61" spans="1:11" ht="42.75">
      <c r="A61" s="1" t="s">
        <v>133</v>
      </c>
      <c r="B61" s="1" t="s">
        <v>134</v>
      </c>
      <c r="C61" s="1" t="s">
        <v>60</v>
      </c>
      <c r="D61" s="12"/>
      <c r="E61" s="12"/>
      <c r="F61" s="12"/>
      <c r="G61" s="2" t="str">
        <f>IF(OR(D61="",E61="",F61=""),"",IF(E61=F61,"",IF(C61="Más es mejor",MAX(0,MIN(100,(D61-E61)/(F61-E61)*100)),MAX(0,MIN(100,(E61-D61)/(E61-F61)*100)))))</f>
        <v/>
      </c>
      <c r="H61" s="11">
        <v>25</v>
      </c>
      <c r="I61" s="2" t="str">
        <f>IF(OR(G61="",H61=""),"",G61*H61/100)</f>
        <v/>
      </c>
      <c r="J61" s="1" t="s">
        <v>135</v>
      </c>
      <c r="K61" s="15" t="s">
        <v>62</v>
      </c>
    </row>
    <row r="62" spans="1:11" ht="42.75">
      <c r="A62" s="1" t="s">
        <v>136</v>
      </c>
      <c r="B62" s="1" t="s">
        <v>137</v>
      </c>
      <c r="C62" s="1" t="s">
        <v>60</v>
      </c>
      <c r="D62" s="12"/>
      <c r="E62" s="12"/>
      <c r="F62" s="12"/>
      <c r="G62" s="2" t="str">
        <f>IF(OR(D62="",E62="",F62=""),"",IF(E62=F62,"",IF(C62="Más es mejor",MAX(0,MIN(100,(D62-E62)/(F62-E62)*100)),MAX(0,MIN(100,(E62-D62)/(E62-F62)*100)))))</f>
        <v/>
      </c>
      <c r="H62" s="11">
        <v>25</v>
      </c>
      <c r="I62" s="2" t="str">
        <f>IF(OR(G62="",H62=""),"",G62*H62/100)</f>
        <v/>
      </c>
      <c r="J62" s="1" t="s">
        <v>138</v>
      </c>
      <c r="K62" s="15" t="s">
        <v>62</v>
      </c>
    </row>
    <row r="63" spans="1:11" ht="42.75">
      <c r="A63" s="1" t="s">
        <v>139</v>
      </c>
      <c r="B63" s="1" t="s">
        <v>140</v>
      </c>
      <c r="C63" s="1" t="s">
        <v>60</v>
      </c>
      <c r="D63" s="12"/>
      <c r="E63" s="12"/>
      <c r="F63" s="12"/>
      <c r="G63" s="2" t="str">
        <f>IF(OR(D63="",E63="",F63=""),"",IF(E63=F63,"",IF(C63="Más es mejor",MAX(0,MIN(100,(D63-E63)/(F63-E63)*100)),MAX(0,MIN(100,(E63-D63)/(E63-F63)*100)))))</f>
        <v/>
      </c>
      <c r="H63" s="11">
        <v>25</v>
      </c>
      <c r="I63" s="2" t="str">
        <f>IF(OR(G63="",H63=""),"",G63*H63/100)</f>
        <v/>
      </c>
      <c r="J63" s="1" t="s">
        <v>141</v>
      </c>
      <c r="K63" s="15" t="s">
        <v>62</v>
      </c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6.5">
      <c r="A65" s="28" t="s">
        <v>76</v>
      </c>
      <c r="B65" s="28"/>
      <c r="C65" s="28"/>
      <c r="D65" s="29" t="str">
        <f>IF(COUNT(G60:G63)=0,"",SUM(I60:I63)/(SUM(H60:H63)/100))</f>
        <v/>
      </c>
      <c r="E65" s="30"/>
      <c r="F65" s="31" t="str">
        <f>IF(D65="","CAPTURA LOS DATOS AMARILLOS",IF(D65&lt;40,"ATENCIÓN PRIORITARIA · revisa los subindicadores con menor puntaje",IF(D65&lt;60,"NIVEL BAJO / EN DESARROLLO · existen brechas importantes",IF(D65&lt;80,"NIVEL MEDIO · situación aceptable con áreas de mejora","NIVEL ALTO / FAVORABLE · condiciones sólidas respecto a tus referencias"))))</f>
        <v>CAPTURA LOS DATOS AMARILLOS</v>
      </c>
      <c r="G65" s="31"/>
      <c r="H65" s="31"/>
      <c r="I65" s="31"/>
      <c r="J65" s="31"/>
      <c r="K65" s="3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>
      <c r="A68" s="26" t="s">
        <v>142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spans="1:11">
      <c r="A69" s="27" t="s">
        <v>143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30">
      <c r="A71" s="14" t="s">
        <v>144</v>
      </c>
      <c r="B71" s="14" t="s">
        <v>145</v>
      </c>
      <c r="C71" s="14" t="s">
        <v>146</v>
      </c>
      <c r="D71" s="14" t="s">
        <v>54</v>
      </c>
      <c r="E71" s="14" t="s">
        <v>147</v>
      </c>
      <c r="F71" s="14" t="s">
        <v>148</v>
      </c>
      <c r="G71" s="14" t="s">
        <v>149</v>
      </c>
      <c r="H71" s="1"/>
      <c r="I71" s="1"/>
      <c r="J71" s="1"/>
      <c r="K71" s="1"/>
    </row>
    <row r="72" spans="1:11" ht="42.75">
      <c r="A72" s="1" t="s">
        <v>150</v>
      </c>
      <c r="B72" s="12"/>
      <c r="C72" s="12"/>
      <c r="D72" s="11">
        <v>33.33</v>
      </c>
      <c r="E72" s="2" t="str">
        <f>IF(OR(B72="",D72=""),"",B72*D72/100)</f>
        <v/>
      </c>
      <c r="F72" s="2" t="str">
        <f>IF(OR(C72="",D72=""),"",C72*D72/100)</f>
        <v/>
      </c>
      <c r="G72" s="1" t="s">
        <v>151</v>
      </c>
      <c r="H72" s="1"/>
      <c r="I72" s="1"/>
      <c r="J72" s="1"/>
      <c r="K72" s="1"/>
    </row>
    <row r="73" spans="1:11" ht="42.75">
      <c r="A73" s="1" t="s">
        <v>152</v>
      </c>
      <c r="B73" s="12"/>
      <c r="C73" s="12"/>
      <c r="D73" s="11">
        <v>33.33</v>
      </c>
      <c r="E73" s="2" t="str">
        <f>IF(OR(B73="",D73=""),"",B73*D73/100)</f>
        <v/>
      </c>
      <c r="F73" s="2" t="str">
        <f>IF(OR(C73="",D73=""),"",C73*D73/100)</f>
        <v/>
      </c>
      <c r="G73" s="1" t="s">
        <v>153</v>
      </c>
      <c r="H73" s="1"/>
      <c r="I73" s="1"/>
      <c r="J73" s="1"/>
      <c r="K73" s="1"/>
    </row>
    <row r="74" spans="1:11" ht="42.75">
      <c r="A74" s="1" t="s">
        <v>154</v>
      </c>
      <c r="B74" s="12"/>
      <c r="C74" s="12"/>
      <c r="D74" s="11">
        <v>33.340000000000003</v>
      </c>
      <c r="E74" s="2" t="str">
        <f>IF(OR(B74="",D74=""),"",B74*D74/100)</f>
        <v/>
      </c>
      <c r="F74" s="2" t="str">
        <f>IF(OR(C74="",D74=""),"",C74*D74/100)</f>
        <v/>
      </c>
      <c r="G74" s="1" t="s">
        <v>155</v>
      </c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32" t="s">
        <v>156</v>
      </c>
      <c r="B76" s="32"/>
      <c r="C76" s="16" t="str">
        <f>IF(COUNT(B72:C74)&lt;6,"",SUM(E72:E74)/(SUM(D72:D74)/100))</f>
        <v/>
      </c>
      <c r="D76" s="16" t="s">
        <v>157</v>
      </c>
      <c r="E76" s="16" t="str">
        <f>IF(COUNT(B72:C74)&lt;6,"",SUM(F72:F74)/(SUM(D72:D74)/100))</f>
        <v/>
      </c>
      <c r="F76" s="16" t="s">
        <v>158</v>
      </c>
      <c r="G76" s="33" t="str">
        <f>IF(C76="","CAPTURA LOS 3 RANGOS","ESTIMACIÓN TRIANGULADA 2025 · rango estimado, no ventas observadas")</f>
        <v>CAPTURA LOS 3 RANGOS</v>
      </c>
      <c r="H76" s="33"/>
      <c r="I76" s="33"/>
      <c r="J76" s="33"/>
      <c r="K76" s="33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>
      <c r="A79" s="26" t="s">
        <v>159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spans="1:11">
      <c r="A80" s="27" t="s">
        <v>160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30">
      <c r="A82" s="14" t="s">
        <v>144</v>
      </c>
      <c r="B82" s="14" t="s">
        <v>145</v>
      </c>
      <c r="C82" s="14" t="s">
        <v>146</v>
      </c>
      <c r="D82" s="14" t="s">
        <v>54</v>
      </c>
      <c r="E82" s="14" t="s">
        <v>147</v>
      </c>
      <c r="F82" s="14" t="s">
        <v>148</v>
      </c>
      <c r="G82" s="14" t="s">
        <v>149</v>
      </c>
      <c r="H82" s="1"/>
      <c r="I82" s="1"/>
      <c r="J82" s="1"/>
      <c r="K82" s="1"/>
    </row>
    <row r="83" spans="1:11" ht="42.75">
      <c r="A83" s="1" t="s">
        <v>150</v>
      </c>
      <c r="B83" s="12"/>
      <c r="C83" s="12"/>
      <c r="D83" s="11">
        <v>33.33</v>
      </c>
      <c r="E83" s="2" t="str">
        <f>IF(OR(B83="",D83=""),"",B83*D83/100)</f>
        <v/>
      </c>
      <c r="F83" s="2" t="str">
        <f>IF(OR(C83="",D83=""),"",C83*D83/100)</f>
        <v/>
      </c>
      <c r="G83" s="1" t="s">
        <v>151</v>
      </c>
      <c r="H83" s="1"/>
      <c r="I83" s="1"/>
      <c r="J83" s="1"/>
      <c r="K83" s="1"/>
    </row>
    <row r="84" spans="1:11" ht="42.75">
      <c r="A84" s="1" t="s">
        <v>152</v>
      </c>
      <c r="B84" s="12"/>
      <c r="C84" s="12"/>
      <c r="D84" s="11">
        <v>33.33</v>
      </c>
      <c r="E84" s="2" t="str">
        <f>IF(OR(B84="",D84=""),"",B84*D84/100)</f>
        <v/>
      </c>
      <c r="F84" s="2" t="str">
        <f>IF(OR(C84="",D84=""),"",C84*D84/100)</f>
        <v/>
      </c>
      <c r="G84" s="1" t="s">
        <v>153</v>
      </c>
      <c r="H84" s="1"/>
      <c r="I84" s="1"/>
      <c r="J84" s="1"/>
      <c r="K84" s="1"/>
    </row>
    <row r="85" spans="1:11" ht="42.75">
      <c r="A85" s="1" t="s">
        <v>154</v>
      </c>
      <c r="B85" s="12"/>
      <c r="C85" s="12"/>
      <c r="D85" s="11">
        <v>33.340000000000003</v>
      </c>
      <c r="E85" s="2" t="str">
        <f>IF(OR(B85="",D85=""),"",B85*D85/100)</f>
        <v/>
      </c>
      <c r="F85" s="2" t="str">
        <f>IF(OR(C85="",D85=""),"",C85*D85/100)</f>
        <v/>
      </c>
      <c r="G85" s="1" t="s">
        <v>155</v>
      </c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32" t="s">
        <v>161</v>
      </c>
      <c r="B87" s="32"/>
      <c r="C87" s="16" t="str">
        <f>IF(COUNT(B83:C85)&lt;6,"",SUM(E83:E85)/(SUM(D83:D85)/100))</f>
        <v/>
      </c>
      <c r="D87" s="16" t="s">
        <v>157</v>
      </c>
      <c r="E87" s="16" t="str">
        <f>IF(COUNT(B83:C85)&lt;6,"",SUM(F83:F85)/(SUM(D83:D85)/100))</f>
        <v/>
      </c>
      <c r="F87" s="16" t="s">
        <v>158</v>
      </c>
      <c r="G87" s="33" t="str">
        <f>IF(C87="","CAPTURA LOS 3 RANGOS","PROYECCIÓN 2030 · interpreta el rango junto con los supuestos de cada proxy")</f>
        <v>CAPTURA LOS 3 RANGOS</v>
      </c>
      <c r="H87" s="33"/>
      <c r="I87" s="33"/>
      <c r="J87" s="33"/>
      <c r="K87" s="33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32" t="s">
        <v>162</v>
      </c>
      <c r="B89" s="32"/>
      <c r="C89" s="32"/>
      <c r="D89" s="12">
        <v>5</v>
      </c>
      <c r="E89" s="1" t="s">
        <v>163</v>
      </c>
      <c r="F89" s="17" t="str">
        <f>IF(OR(C76="",E76="",C87="",E87=""),"",(((C87+E87)/2)/((C76+E76)/2))^(1/D89)-1)</f>
        <v/>
      </c>
      <c r="G89" s="34" t="str">
        <f>IF(F89="","CAPTURA LOS DOS RANGOS",IF(F89&lt;0,"DISMINUCIÓN PROYECTADA",IF(F89&lt;0.05,"CRECIMIENTO MODERADO",IF(F89&lt;0.1,"CRECIMIENTO DINÁMICO","CRECIMIENTO ALTO"))))</f>
        <v>CAPTURA LOS DOS RANGOS</v>
      </c>
      <c r="H89" s="34"/>
      <c r="I89" s="34"/>
      <c r="J89" s="34"/>
      <c r="K89" s="34"/>
    </row>
  </sheetData>
  <mergeCells count="37">
    <mergeCell ref="A80:K80"/>
    <mergeCell ref="A87:B87"/>
    <mergeCell ref="G87:K87"/>
    <mergeCell ref="A89:C89"/>
    <mergeCell ref="G89:K89"/>
    <mergeCell ref="A68:K68"/>
    <mergeCell ref="A69:K69"/>
    <mergeCell ref="A76:B76"/>
    <mergeCell ref="G76:K76"/>
    <mergeCell ref="A79:K79"/>
    <mergeCell ref="A56:K56"/>
    <mergeCell ref="A57:K57"/>
    <mergeCell ref="A65:C65"/>
    <mergeCell ref="D65:E65"/>
    <mergeCell ref="F65:K65"/>
    <mergeCell ref="A43:K43"/>
    <mergeCell ref="A44:K44"/>
    <mergeCell ref="A53:C53"/>
    <mergeCell ref="D53:E53"/>
    <mergeCell ref="F53:K53"/>
    <mergeCell ref="A30:K30"/>
    <mergeCell ref="A31:K31"/>
    <mergeCell ref="A40:C40"/>
    <mergeCell ref="D40:E40"/>
    <mergeCell ref="F40:K40"/>
    <mergeCell ref="A17:K17"/>
    <mergeCell ref="A18:K18"/>
    <mergeCell ref="A27:C27"/>
    <mergeCell ref="D27:E27"/>
    <mergeCell ref="F27:K27"/>
    <mergeCell ref="A1:K1"/>
    <mergeCell ref="A2:K2"/>
    <mergeCell ref="A4:K4"/>
    <mergeCell ref="A5:K5"/>
    <mergeCell ref="A14:C14"/>
    <mergeCell ref="D14:E14"/>
    <mergeCell ref="F14:K14"/>
  </mergeCells>
  <conditionalFormatting sqref="D14:K14">
    <cfRule type="expression" dxfId="26" priority="1">
      <formula>$D$14&lt;40</formula>
    </cfRule>
    <cfRule type="expression" dxfId="25" priority="2">
      <formula>AND($D$14&gt;=40,$D$14&lt;60)</formula>
    </cfRule>
    <cfRule type="expression" dxfId="24" priority="3">
      <formula>AND($D$14&gt;=60,$D$14&lt;80)</formula>
    </cfRule>
    <cfRule type="expression" dxfId="23" priority="4">
      <formula>$D$14&gt;=80</formula>
    </cfRule>
  </conditionalFormatting>
  <conditionalFormatting sqref="D27:K27">
    <cfRule type="expression" dxfId="22" priority="6">
      <formula>$D$27&lt;40</formula>
    </cfRule>
    <cfRule type="expression" dxfId="21" priority="7">
      <formula>AND($D$27&gt;=40,$D$27&lt;60)</formula>
    </cfRule>
    <cfRule type="expression" dxfId="20" priority="8">
      <formula>AND($D$27&gt;=60,$D$27&lt;80)</formula>
    </cfRule>
    <cfRule type="expression" dxfId="19" priority="9">
      <formula>$D$27&gt;=80</formula>
    </cfRule>
  </conditionalFormatting>
  <conditionalFormatting sqref="D40:K40">
    <cfRule type="expression" dxfId="18" priority="11">
      <formula>$D$40&lt;40</formula>
    </cfRule>
    <cfRule type="expression" dxfId="17" priority="12">
      <formula>AND($D$40&gt;=40,$D$40&lt;60)</formula>
    </cfRule>
    <cfRule type="expression" dxfId="16" priority="13">
      <formula>AND($D$40&gt;=60,$D$40&lt;80)</formula>
    </cfRule>
    <cfRule type="expression" dxfId="15" priority="14">
      <formula>$D$40&gt;=80</formula>
    </cfRule>
  </conditionalFormatting>
  <conditionalFormatting sqref="D53:K53">
    <cfRule type="expression" dxfId="14" priority="16">
      <formula>$D$53&lt;40</formula>
    </cfRule>
    <cfRule type="expression" dxfId="13" priority="17">
      <formula>AND($D$53&gt;=40,$D$53&lt;60)</formula>
    </cfRule>
    <cfRule type="expression" dxfId="12" priority="18">
      <formula>AND($D$53&gt;=60,$D$53&lt;80)</formula>
    </cfRule>
    <cfRule type="expression" dxfId="11" priority="19">
      <formula>$D$53&gt;=80</formula>
    </cfRule>
  </conditionalFormatting>
  <conditionalFormatting sqref="D65:K65">
    <cfRule type="expression" dxfId="10" priority="21">
      <formula>$D$65&lt;40</formula>
    </cfRule>
    <cfRule type="expression" dxfId="9" priority="22">
      <formula>AND($D$65&gt;=40,$D$65&lt;60)</formula>
    </cfRule>
    <cfRule type="expression" dxfId="8" priority="23">
      <formula>AND($D$65&gt;=60,$D$65&lt;80)</formula>
    </cfRule>
    <cfRule type="expression" dxfId="7" priority="24">
      <formula>$D$65&gt;=80</formula>
    </cfRule>
  </conditionalFormatting>
  <conditionalFormatting sqref="G8:G12">
    <cfRule type="colorScale" priority="5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G21:G25">
    <cfRule type="colorScale" priority="10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G34:G38">
    <cfRule type="colorScale" priority="15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G47:G51">
    <cfRule type="colorScale" priority="20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G60:G63">
    <cfRule type="colorScale" priority="25">
      <colorScale>
        <cfvo type="min"/>
        <cfvo type="percentile" val="50"/>
        <cfvo type="max"/>
        <color rgb="FFF4CCCC"/>
        <color rgb="FFFFF2CC"/>
        <color rgb="FFE2F0D9"/>
      </colorScale>
    </cfRule>
  </conditionalFormatting>
  <dataValidations count="2">
    <dataValidation type="decimal" sqref="H8:H63" xr:uid="{00000000-0002-0000-0100-000000000000}">
      <formula1>0</formula1>
      <formula2>100</formula2>
    </dataValidation>
    <dataValidation type="decimal" sqref="D8:F63" xr:uid="{00000000-0002-0000-0100-000001000000}">
      <formula1>-1000000000</formula1>
      <formula2>1000000000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5" sqref="B5"/>
    </sheetView>
  </sheetViews>
  <sheetFormatPr baseColWidth="10" defaultColWidth="9" defaultRowHeight="14.25"/>
  <cols>
    <col min="1" max="1" width="28" customWidth="1"/>
    <col min="2" max="2" width="22" customWidth="1"/>
    <col min="3" max="3" width="16" customWidth="1"/>
    <col min="4" max="4" width="42" customWidth="1"/>
    <col min="5" max="5" width="48" customWidth="1"/>
    <col min="6" max="6" width="26" customWidth="1"/>
  </cols>
  <sheetData>
    <row r="1" spans="1:6" ht="19.5">
      <c r="A1" s="24" t="s">
        <v>164</v>
      </c>
      <c r="B1" s="24"/>
      <c r="C1" s="24"/>
      <c r="D1" s="24"/>
      <c r="E1" s="24"/>
      <c r="F1" s="24"/>
    </row>
    <row r="2" spans="1:6">
      <c r="A2" s="1"/>
      <c r="B2" s="1"/>
      <c r="C2" s="1"/>
      <c r="D2" s="1"/>
      <c r="E2" s="1"/>
      <c r="F2" s="1"/>
    </row>
    <row r="3" spans="1:6" ht="15">
      <c r="A3" s="18" t="s">
        <v>165</v>
      </c>
      <c r="B3" s="18" t="s">
        <v>166</v>
      </c>
      <c r="C3" s="18" t="s">
        <v>167</v>
      </c>
      <c r="D3" s="18" t="s">
        <v>168</v>
      </c>
      <c r="E3" s="18" t="s">
        <v>169</v>
      </c>
      <c r="F3" s="18" t="s">
        <v>170</v>
      </c>
    </row>
    <row r="4" spans="1:6" ht="15">
      <c r="A4" s="1" t="s">
        <v>171</v>
      </c>
      <c r="B4" s="19">
        <f>CALCULADORA_7!D14</f>
        <v>64</v>
      </c>
      <c r="C4" s="1" t="str">
        <f>IF(B4="","Sin datos",IF(B4&lt;40,"ROJO",IF(B4&lt;60,"NARANJA",IF(B4&lt;80,"AMARILLO","VERDE"))))</f>
        <v>AMARILLO</v>
      </c>
      <c r="D4" s="1" t="str">
        <f>IF(B4="","Captura los datos en CALCULADORA_7",IF(B4&lt;40,"Atención prioritaria",IF(B4&lt;60,"En desarrollo",IF(B4&lt;80,"Nivel medio / favorable con mejoras","Nivel alto / favorable"))))</f>
        <v>Nivel medio / favorable con mejoras</v>
      </c>
      <c r="E4" s="1" t="s">
        <v>172</v>
      </c>
      <c r="F4" s="1" t="s">
        <v>173</v>
      </c>
    </row>
    <row r="5" spans="1:6" ht="29.25">
      <c r="A5" s="1" t="s">
        <v>174</v>
      </c>
      <c r="B5" s="19" t="str">
        <f>CALCULADORA_7!D27</f>
        <v/>
      </c>
      <c r="C5" s="1" t="str">
        <f>IF(B5="","Sin datos",IF(B5&lt;40,"ROJO",IF(B5&lt;60,"NARANJA",IF(B5&lt;80,"AMARILLO","VERDE"))))</f>
        <v>Sin datos</v>
      </c>
      <c r="D5" s="1" t="str">
        <f>IF(B5="","Captura los datos en CALCULADORA_7",IF(B5&lt;40,"Atención prioritaria",IF(B5&lt;60,"En desarrollo",IF(B5&lt;80,"Nivel medio / favorable con mejoras","Nivel alto / favorable"))))</f>
        <v>Captura los datos en CALCULADORA_7</v>
      </c>
      <c r="E5" s="1" t="s">
        <v>175</v>
      </c>
      <c r="F5" s="1" t="s">
        <v>176</v>
      </c>
    </row>
    <row r="6" spans="1:6" ht="29.25">
      <c r="A6" s="1" t="s">
        <v>177</v>
      </c>
      <c r="B6" s="19" t="str">
        <f>CALCULADORA_7!D40</f>
        <v/>
      </c>
      <c r="C6" s="1" t="str">
        <f>IF(B6="","Sin datos",IF(B6&lt;40,"ROJO",IF(B6&lt;60,"NARANJA",IF(B6&lt;80,"AMARILLO","VERDE"))))</f>
        <v>Sin datos</v>
      </c>
      <c r="D6" s="1" t="str">
        <f>IF(B6="","Captura los datos en CALCULADORA_7",IF(B6&lt;40,"Atención prioritaria",IF(B6&lt;60,"En desarrollo",IF(B6&lt;80,"Nivel medio / favorable con mejoras","Nivel alto / favorable"))))</f>
        <v>Captura los datos en CALCULADORA_7</v>
      </c>
      <c r="E6" s="1" t="s">
        <v>178</v>
      </c>
      <c r="F6" s="1" t="s">
        <v>179</v>
      </c>
    </row>
    <row r="7" spans="1:6" ht="29.25">
      <c r="A7" s="1" t="s">
        <v>180</v>
      </c>
      <c r="B7" s="19" t="str">
        <f>CALCULADORA_7!D53</f>
        <v/>
      </c>
      <c r="C7" s="1" t="str">
        <f>IF(B7="","Sin datos",IF(B7&lt;40,"ROJO",IF(B7&lt;60,"NARANJA",IF(B7&lt;80,"AMARILLO","VERDE"))))</f>
        <v>Sin datos</v>
      </c>
      <c r="D7" s="1" t="str">
        <f>IF(B7="","Captura los datos en CALCULADORA_7",IF(B7&lt;40,"Atención prioritaria",IF(B7&lt;60,"En desarrollo",IF(B7&lt;80,"Nivel medio / favorable con mejoras","Nivel alto / favorable"))))</f>
        <v>Captura los datos en CALCULADORA_7</v>
      </c>
      <c r="E7" s="1" t="s">
        <v>181</v>
      </c>
      <c r="F7" s="1" t="s">
        <v>182</v>
      </c>
    </row>
    <row r="8" spans="1:6" ht="29.25">
      <c r="A8" s="1" t="s">
        <v>183</v>
      </c>
      <c r="B8" s="19" t="str">
        <f>CALCULADORA_7!D65</f>
        <v/>
      </c>
      <c r="C8" s="1" t="str">
        <f>IF(B8="","Sin datos",IF(B8&lt;40,"ROJO",IF(B8&lt;60,"NARANJA",IF(B8&lt;80,"AMARILLO","VERDE"))))</f>
        <v>Sin datos</v>
      </c>
      <c r="D8" s="1" t="str">
        <f>IF(B8="","Captura los datos en CALCULADORA_7",IF(B8&lt;40,"Atención prioritaria",IF(B8&lt;60,"En desarrollo",IF(B8&lt;80,"Nivel medio / favorable con mejoras","Nivel alto / favorable"))))</f>
        <v>Captura los datos en CALCULADORA_7</v>
      </c>
      <c r="E8" s="1" t="s">
        <v>184</v>
      </c>
      <c r="F8" s="1" t="s">
        <v>185</v>
      </c>
    </row>
    <row r="9" spans="1:6" ht="28.5">
      <c r="A9" s="1" t="s">
        <v>186</v>
      </c>
      <c r="B9" s="1" t="str">
        <f>IF(CALCULADORA_7!C76="","",CALCULADORA_7!C76&amp;" a "&amp;CALCULADORA_7!E76&amp;" MUSD")</f>
        <v/>
      </c>
      <c r="C9" s="1" t="s">
        <v>187</v>
      </c>
      <c r="D9" s="1" t="s">
        <v>188</v>
      </c>
      <c r="E9" s="1" t="s">
        <v>189</v>
      </c>
      <c r="F9" s="1" t="s">
        <v>190</v>
      </c>
    </row>
    <row r="10" spans="1:6" ht="28.5">
      <c r="A10" s="1" t="s">
        <v>191</v>
      </c>
      <c r="B10" s="1" t="str">
        <f>IF(CALCULADORA_7!C87="","",CALCULADORA_7!C87&amp;" a "&amp;CALCULADORA_7!E87&amp;" MUSD")</f>
        <v/>
      </c>
      <c r="C10" s="1" t="s">
        <v>192</v>
      </c>
      <c r="D10" s="1" t="s">
        <v>193</v>
      </c>
      <c r="E10" s="1" t="s">
        <v>194</v>
      </c>
      <c r="F10" s="1" t="s">
        <v>195</v>
      </c>
    </row>
  </sheetData>
  <mergeCells count="1">
    <mergeCell ref="A1:F1"/>
  </mergeCells>
  <conditionalFormatting sqref="B4:B8">
    <cfRule type="expression" dxfId="6" priority="1">
      <formula>B4&lt;40</formula>
    </cfRule>
    <cfRule type="expression" dxfId="5" priority="2">
      <formula>AND(B4&gt;=40,B4&lt;60)</formula>
    </cfRule>
    <cfRule type="expression" dxfId="4" priority="3">
      <formula>AND(B4&gt;=60,B4&lt;80)</formula>
    </cfRule>
    <cfRule type="expression" dxfId="3" priority="4">
      <formula>B4&gt;=80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workbookViewId="0">
      <selection sqref="A1:F1"/>
    </sheetView>
  </sheetViews>
  <sheetFormatPr baseColWidth="10" defaultColWidth="9" defaultRowHeight="14.25"/>
  <cols>
    <col min="1" max="1" width="10" customWidth="1"/>
    <col min="2" max="2" width="34" customWidth="1"/>
    <col min="3" max="3" width="52" customWidth="1"/>
    <col min="4" max="4" width="22" customWidth="1"/>
    <col min="5" max="5" width="20" customWidth="1"/>
    <col min="6" max="6" width="24" customWidth="1"/>
  </cols>
  <sheetData>
    <row r="1" spans="1:6" ht="18">
      <c r="A1" s="35" t="s">
        <v>196</v>
      </c>
      <c r="B1" s="35"/>
      <c r="C1" s="35"/>
      <c r="D1" s="35"/>
      <c r="E1" s="35"/>
      <c r="F1" s="35"/>
    </row>
    <row r="3" spans="1:6" ht="15">
      <c r="A3" s="18" t="s">
        <v>47</v>
      </c>
      <c r="B3" s="18" t="s">
        <v>197</v>
      </c>
      <c r="C3" s="18" t="s">
        <v>169</v>
      </c>
      <c r="D3" s="18" t="s">
        <v>198</v>
      </c>
      <c r="E3" s="18" t="s">
        <v>199</v>
      </c>
      <c r="F3" s="18" t="s">
        <v>200</v>
      </c>
    </row>
    <row r="4" spans="1:6">
      <c r="A4" s="1" t="s">
        <v>130</v>
      </c>
      <c r="B4" s="1" t="s">
        <v>201</v>
      </c>
      <c r="C4" s="1" t="s">
        <v>202</v>
      </c>
      <c r="D4" s="1" t="s">
        <v>203</v>
      </c>
      <c r="E4" s="1" t="s">
        <v>204</v>
      </c>
      <c r="F4" s="1" t="s">
        <v>205</v>
      </c>
    </row>
    <row r="5" spans="1:6">
      <c r="A5" s="1" t="s">
        <v>133</v>
      </c>
      <c r="B5" s="1" t="s">
        <v>134</v>
      </c>
      <c r="C5" s="1" t="s">
        <v>206</v>
      </c>
      <c r="D5" s="1" t="s">
        <v>203</v>
      </c>
      <c r="E5" s="1" t="s">
        <v>204</v>
      </c>
      <c r="F5" s="1" t="s">
        <v>207</v>
      </c>
    </row>
    <row r="6" spans="1:6">
      <c r="A6" s="1" t="s">
        <v>136</v>
      </c>
      <c r="B6" s="1" t="s">
        <v>137</v>
      </c>
      <c r="C6" s="1" t="s">
        <v>208</v>
      </c>
      <c r="D6" s="1" t="s">
        <v>203</v>
      </c>
      <c r="E6" s="1" t="s">
        <v>204</v>
      </c>
      <c r="F6" s="1" t="s">
        <v>203</v>
      </c>
    </row>
    <row r="7" spans="1:6">
      <c r="A7" s="1" t="s">
        <v>139</v>
      </c>
      <c r="B7" s="1" t="s">
        <v>140</v>
      </c>
      <c r="C7" s="1" t="s">
        <v>209</v>
      </c>
      <c r="D7" s="1" t="s">
        <v>203</v>
      </c>
      <c r="E7" s="1" t="s">
        <v>204</v>
      </c>
      <c r="F7" s="1" t="s">
        <v>203</v>
      </c>
    </row>
    <row r="8" spans="1:6">
      <c r="A8" s="1" t="s">
        <v>210</v>
      </c>
      <c r="B8" s="1" t="s">
        <v>211</v>
      </c>
      <c r="C8" s="1" t="s">
        <v>212</v>
      </c>
      <c r="D8" s="1" t="s">
        <v>213</v>
      </c>
      <c r="E8" s="1" t="s">
        <v>214</v>
      </c>
      <c r="F8" s="1" t="s">
        <v>205</v>
      </c>
    </row>
    <row r="9" spans="1:6">
      <c r="A9" s="1" t="s">
        <v>215</v>
      </c>
      <c r="B9" s="1" t="s">
        <v>216</v>
      </c>
      <c r="C9" s="1" t="s">
        <v>217</v>
      </c>
      <c r="D9" s="1" t="s">
        <v>213</v>
      </c>
      <c r="E9" s="1" t="s">
        <v>214</v>
      </c>
      <c r="F9" s="1" t="s">
        <v>205</v>
      </c>
    </row>
    <row r="10" spans="1:6">
      <c r="A10" s="1" t="s">
        <v>218</v>
      </c>
      <c r="B10" s="1" t="s">
        <v>219</v>
      </c>
      <c r="C10" s="1" t="s">
        <v>220</v>
      </c>
      <c r="D10" s="1" t="s">
        <v>213</v>
      </c>
      <c r="E10" s="1" t="s">
        <v>214</v>
      </c>
      <c r="F10" s="1" t="s">
        <v>205</v>
      </c>
    </row>
    <row r="11" spans="1:6">
      <c r="A11" s="1" t="s">
        <v>221</v>
      </c>
      <c r="B11" s="1" t="s">
        <v>222</v>
      </c>
      <c r="C11" s="1" t="s">
        <v>223</v>
      </c>
      <c r="D11" s="1" t="s">
        <v>213</v>
      </c>
      <c r="E11" s="1" t="s">
        <v>224</v>
      </c>
      <c r="F11" s="1" t="s">
        <v>225</v>
      </c>
    </row>
    <row r="12" spans="1:6">
      <c r="A12" s="1" t="s">
        <v>226</v>
      </c>
      <c r="B12" s="1" t="s">
        <v>227</v>
      </c>
      <c r="C12" s="1" t="s">
        <v>228</v>
      </c>
      <c r="D12" s="1" t="s">
        <v>213</v>
      </c>
      <c r="E12" s="1" t="s">
        <v>224</v>
      </c>
      <c r="F12" s="1" t="s">
        <v>225</v>
      </c>
    </row>
    <row r="13" spans="1:6">
      <c r="A13" s="1" t="s">
        <v>113</v>
      </c>
      <c r="B13" s="1" t="s">
        <v>229</v>
      </c>
      <c r="C13" s="1" t="s">
        <v>230</v>
      </c>
      <c r="D13" s="1" t="s">
        <v>231</v>
      </c>
      <c r="E13" s="1" t="s">
        <v>204</v>
      </c>
      <c r="F13" s="1" t="s">
        <v>231</v>
      </c>
    </row>
    <row r="14" spans="1:6">
      <c r="A14" s="1" t="s">
        <v>116</v>
      </c>
      <c r="B14" s="1" t="s">
        <v>232</v>
      </c>
      <c r="C14" s="1" t="s">
        <v>233</v>
      </c>
      <c r="D14" s="1" t="s">
        <v>231</v>
      </c>
      <c r="E14" s="1" t="s">
        <v>204</v>
      </c>
      <c r="F14" s="1" t="s">
        <v>231</v>
      </c>
    </row>
    <row r="15" spans="1:6">
      <c r="A15" s="1" t="s">
        <v>119</v>
      </c>
      <c r="B15" s="1" t="s">
        <v>120</v>
      </c>
      <c r="C15" s="1" t="s">
        <v>234</v>
      </c>
      <c r="D15" s="1" t="s">
        <v>231</v>
      </c>
      <c r="E15" s="1" t="s">
        <v>204</v>
      </c>
      <c r="F15" s="1" t="s">
        <v>231</v>
      </c>
    </row>
    <row r="16" spans="1:6">
      <c r="A16" s="1" t="s">
        <v>122</v>
      </c>
      <c r="B16" s="1" t="s">
        <v>235</v>
      </c>
      <c r="C16" s="1" t="s">
        <v>236</v>
      </c>
      <c r="D16" s="1" t="s">
        <v>231</v>
      </c>
      <c r="E16" s="1" t="s">
        <v>204</v>
      </c>
      <c r="F16" s="1" t="s">
        <v>231</v>
      </c>
    </row>
    <row r="17" spans="1:6">
      <c r="A17" s="1" t="s">
        <v>125</v>
      </c>
      <c r="B17" s="1" t="s">
        <v>237</v>
      </c>
      <c r="C17" s="1" t="s">
        <v>238</v>
      </c>
      <c r="D17" s="1" t="s">
        <v>231</v>
      </c>
      <c r="E17" s="1" t="s">
        <v>204</v>
      </c>
      <c r="F17" s="1" t="s">
        <v>231</v>
      </c>
    </row>
    <row r="18" spans="1:6">
      <c r="A18" s="1" t="s">
        <v>239</v>
      </c>
      <c r="B18" s="1" t="s">
        <v>240</v>
      </c>
      <c r="C18" s="1" t="s">
        <v>241</v>
      </c>
      <c r="D18" s="1" t="s">
        <v>242</v>
      </c>
      <c r="E18" s="1" t="s">
        <v>224</v>
      </c>
      <c r="F18" s="1" t="s">
        <v>225</v>
      </c>
    </row>
    <row r="19" spans="1:6">
      <c r="A19" s="1" t="s">
        <v>243</v>
      </c>
      <c r="B19" s="1" t="s">
        <v>244</v>
      </c>
      <c r="C19" s="1" t="s">
        <v>245</v>
      </c>
      <c r="D19" s="1" t="s">
        <v>242</v>
      </c>
      <c r="E19" s="1" t="s">
        <v>224</v>
      </c>
      <c r="F19" s="1" t="s">
        <v>225</v>
      </c>
    </row>
    <row r="20" spans="1:6">
      <c r="A20" s="1" t="s">
        <v>246</v>
      </c>
      <c r="B20" s="1" t="s">
        <v>247</v>
      </c>
      <c r="C20" s="1" t="s">
        <v>248</v>
      </c>
      <c r="D20" s="1" t="s">
        <v>242</v>
      </c>
      <c r="E20" s="1" t="s">
        <v>224</v>
      </c>
      <c r="F20" s="1" t="s">
        <v>225</v>
      </c>
    </row>
    <row r="21" spans="1:6">
      <c r="A21" s="1" t="s">
        <v>249</v>
      </c>
      <c r="B21" s="1" t="s">
        <v>250</v>
      </c>
      <c r="C21" s="1" t="s">
        <v>251</v>
      </c>
      <c r="D21" s="1" t="s">
        <v>242</v>
      </c>
      <c r="E21" s="1" t="s">
        <v>224</v>
      </c>
      <c r="F21" s="1" t="s">
        <v>225</v>
      </c>
    </row>
    <row r="22" spans="1:6">
      <c r="A22" s="1" t="s">
        <v>252</v>
      </c>
      <c r="B22" s="1" t="s">
        <v>253</v>
      </c>
      <c r="C22" s="1" t="s">
        <v>254</v>
      </c>
      <c r="D22" s="1" t="s">
        <v>242</v>
      </c>
      <c r="E22" s="1" t="s">
        <v>224</v>
      </c>
      <c r="F22" s="1" t="s">
        <v>225</v>
      </c>
    </row>
    <row r="23" spans="1:6">
      <c r="A23" s="1" t="s">
        <v>96</v>
      </c>
      <c r="B23" s="1" t="s">
        <v>97</v>
      </c>
      <c r="C23" s="1" t="s">
        <v>255</v>
      </c>
      <c r="D23" s="1" t="s">
        <v>256</v>
      </c>
      <c r="E23" s="1" t="s">
        <v>204</v>
      </c>
      <c r="F23" s="1" t="s">
        <v>256</v>
      </c>
    </row>
    <row r="24" spans="1:6">
      <c r="A24" s="1" t="s">
        <v>99</v>
      </c>
      <c r="B24" s="1" t="s">
        <v>257</v>
      </c>
      <c r="C24" s="1" t="s">
        <v>258</v>
      </c>
      <c r="D24" s="1" t="s">
        <v>256</v>
      </c>
      <c r="E24" s="1" t="s">
        <v>204</v>
      </c>
      <c r="F24" s="1" t="s">
        <v>256</v>
      </c>
    </row>
    <row r="25" spans="1:6">
      <c r="A25" s="1" t="s">
        <v>102</v>
      </c>
      <c r="B25" s="1" t="s">
        <v>103</v>
      </c>
      <c r="C25" s="1" t="s">
        <v>259</v>
      </c>
      <c r="D25" s="1" t="s">
        <v>256</v>
      </c>
      <c r="E25" s="1" t="s">
        <v>204</v>
      </c>
      <c r="F25" s="1" t="s">
        <v>256</v>
      </c>
    </row>
    <row r="26" spans="1:6">
      <c r="A26" s="1" t="s">
        <v>105</v>
      </c>
      <c r="B26" s="1" t="s">
        <v>106</v>
      </c>
      <c r="C26" s="1" t="s">
        <v>260</v>
      </c>
      <c r="D26" s="1" t="s">
        <v>256</v>
      </c>
      <c r="E26" s="1" t="s">
        <v>204</v>
      </c>
      <c r="F26" s="1" t="s">
        <v>256</v>
      </c>
    </row>
    <row r="27" spans="1:6">
      <c r="A27" s="1" t="s">
        <v>108</v>
      </c>
      <c r="B27" s="1" t="s">
        <v>109</v>
      </c>
      <c r="C27" s="1" t="s">
        <v>261</v>
      </c>
      <c r="D27" s="1" t="s">
        <v>256</v>
      </c>
      <c r="E27" s="1" t="s">
        <v>204</v>
      </c>
      <c r="F27" s="1" t="s">
        <v>256</v>
      </c>
    </row>
    <row r="28" spans="1:6">
      <c r="A28" s="1" t="s">
        <v>79</v>
      </c>
      <c r="B28" s="1" t="s">
        <v>80</v>
      </c>
      <c r="C28" s="1" t="s">
        <v>262</v>
      </c>
      <c r="D28" s="1" t="s">
        <v>263</v>
      </c>
      <c r="E28" s="1" t="s">
        <v>204</v>
      </c>
      <c r="F28" s="1" t="s">
        <v>263</v>
      </c>
    </row>
    <row r="29" spans="1:6">
      <c r="A29" s="1" t="s">
        <v>82</v>
      </c>
      <c r="B29" s="1" t="s">
        <v>264</v>
      </c>
      <c r="C29" s="1" t="s">
        <v>265</v>
      </c>
      <c r="D29" s="1" t="s">
        <v>263</v>
      </c>
      <c r="E29" s="1" t="s">
        <v>204</v>
      </c>
      <c r="F29" s="1" t="s">
        <v>263</v>
      </c>
    </row>
    <row r="30" spans="1:6">
      <c r="A30" s="1" t="s">
        <v>85</v>
      </c>
      <c r="B30" s="1" t="s">
        <v>266</v>
      </c>
      <c r="C30" s="1" t="s">
        <v>267</v>
      </c>
      <c r="D30" s="1" t="s">
        <v>263</v>
      </c>
      <c r="E30" s="1" t="s">
        <v>204</v>
      </c>
      <c r="F30" s="1" t="s">
        <v>263</v>
      </c>
    </row>
    <row r="31" spans="1:6">
      <c r="A31" s="1" t="s">
        <v>88</v>
      </c>
      <c r="B31" s="1" t="s">
        <v>268</v>
      </c>
      <c r="C31" s="1" t="s">
        <v>269</v>
      </c>
      <c r="D31" s="1" t="s">
        <v>263</v>
      </c>
      <c r="E31" s="1" t="s">
        <v>204</v>
      </c>
      <c r="F31" s="1" t="s">
        <v>263</v>
      </c>
    </row>
    <row r="32" spans="1:6">
      <c r="A32" s="1" t="s">
        <v>91</v>
      </c>
      <c r="B32" s="1" t="s">
        <v>92</v>
      </c>
      <c r="C32" s="1" t="s">
        <v>270</v>
      </c>
      <c r="D32" s="1" t="s">
        <v>263</v>
      </c>
      <c r="E32" s="1" t="s">
        <v>204</v>
      </c>
      <c r="F32" s="1" t="s">
        <v>263</v>
      </c>
    </row>
    <row r="33" spans="1:6">
      <c r="A33" s="1" t="s">
        <v>58</v>
      </c>
      <c r="B33" s="1" t="s">
        <v>59</v>
      </c>
      <c r="C33" s="1" t="s">
        <v>271</v>
      </c>
      <c r="D33" s="1" t="s">
        <v>272</v>
      </c>
      <c r="E33" s="1" t="s">
        <v>204</v>
      </c>
      <c r="F33" s="1" t="s">
        <v>272</v>
      </c>
    </row>
    <row r="34" spans="1:6">
      <c r="A34" s="1" t="s">
        <v>63</v>
      </c>
      <c r="B34" s="1" t="s">
        <v>64</v>
      </c>
      <c r="C34" s="1" t="s">
        <v>273</v>
      </c>
      <c r="D34" s="1" t="s">
        <v>272</v>
      </c>
      <c r="E34" s="1" t="s">
        <v>204</v>
      </c>
      <c r="F34" s="1" t="s">
        <v>272</v>
      </c>
    </row>
    <row r="35" spans="1:6">
      <c r="A35" s="1" t="s">
        <v>66</v>
      </c>
      <c r="B35" s="1" t="s">
        <v>67</v>
      </c>
      <c r="C35" s="1" t="s">
        <v>274</v>
      </c>
      <c r="D35" s="1" t="s">
        <v>272</v>
      </c>
      <c r="E35" s="1" t="s">
        <v>204</v>
      </c>
      <c r="F35" s="1" t="s">
        <v>272</v>
      </c>
    </row>
    <row r="36" spans="1:6">
      <c r="A36" s="1" t="s">
        <v>70</v>
      </c>
      <c r="B36" s="1" t="s">
        <v>275</v>
      </c>
      <c r="C36" s="1" t="s">
        <v>276</v>
      </c>
      <c r="D36" s="1" t="s">
        <v>272</v>
      </c>
      <c r="E36" s="1" t="s">
        <v>204</v>
      </c>
      <c r="F36" s="1" t="s">
        <v>272</v>
      </c>
    </row>
    <row r="37" spans="1:6">
      <c r="A37" s="1" t="s">
        <v>73</v>
      </c>
      <c r="B37" s="1" t="s">
        <v>277</v>
      </c>
      <c r="C37" s="1" t="s">
        <v>278</v>
      </c>
      <c r="D37" s="1" t="s">
        <v>272</v>
      </c>
      <c r="E37" s="1" t="s">
        <v>204</v>
      </c>
      <c r="F37" s="1" t="s">
        <v>272</v>
      </c>
    </row>
    <row r="38" spans="1:6">
      <c r="A38" s="1" t="s">
        <v>279</v>
      </c>
      <c r="B38" s="1" t="s">
        <v>280</v>
      </c>
      <c r="C38" s="1" t="s">
        <v>281</v>
      </c>
      <c r="D38" s="1" t="s">
        <v>282</v>
      </c>
      <c r="E38" s="1" t="s">
        <v>224</v>
      </c>
      <c r="F38" s="1" t="s">
        <v>225</v>
      </c>
    </row>
    <row r="39" spans="1:6">
      <c r="A39" s="1" t="s">
        <v>283</v>
      </c>
      <c r="B39" s="1" t="s">
        <v>284</v>
      </c>
      <c r="C39" s="1" t="s">
        <v>285</v>
      </c>
      <c r="D39" s="1" t="s">
        <v>282</v>
      </c>
      <c r="E39" s="1" t="s">
        <v>224</v>
      </c>
      <c r="F39" s="1" t="s">
        <v>225</v>
      </c>
    </row>
    <row r="40" spans="1:6">
      <c r="A40" s="1" t="s">
        <v>286</v>
      </c>
      <c r="B40" s="1" t="s">
        <v>287</v>
      </c>
      <c r="C40" s="1" t="s">
        <v>288</v>
      </c>
      <c r="D40" s="1" t="s">
        <v>282</v>
      </c>
      <c r="E40" s="1" t="s">
        <v>224</v>
      </c>
      <c r="F40" s="1" t="s">
        <v>225</v>
      </c>
    </row>
    <row r="41" spans="1:6">
      <c r="A41" s="1" t="s">
        <v>289</v>
      </c>
      <c r="B41" s="1" t="s">
        <v>290</v>
      </c>
      <c r="C41" s="1" t="s">
        <v>291</v>
      </c>
      <c r="D41" s="1" t="s">
        <v>282</v>
      </c>
      <c r="E41" s="1" t="s">
        <v>224</v>
      </c>
      <c r="F41" s="1" t="s">
        <v>225</v>
      </c>
    </row>
    <row r="42" spans="1:6">
      <c r="A42" s="1" t="s">
        <v>292</v>
      </c>
      <c r="B42" s="1" t="s">
        <v>293</v>
      </c>
      <c r="C42" s="1" t="s">
        <v>294</v>
      </c>
      <c r="D42" s="1" t="s">
        <v>282</v>
      </c>
      <c r="E42" s="1" t="s">
        <v>224</v>
      </c>
      <c r="F42" s="1" t="s">
        <v>225</v>
      </c>
    </row>
  </sheetData>
  <mergeCells count="1">
    <mergeCell ref="A1:F1"/>
  </mergeCells>
  <conditionalFormatting sqref="E4:E42">
    <cfRule type="expression" dxfId="2" priority="1">
      <formula>E4="Directa"</formula>
    </cfRule>
    <cfRule type="expression" dxfId="1" priority="2">
      <formula>E4="Indirecta"</formula>
    </cfRule>
    <cfRule type="expression" dxfId="0" priority="3">
      <formula>E4="No visible directa"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EMPIEZA_AQUI</vt:lpstr>
      <vt:lpstr>CALCULADORA_7</vt:lpstr>
      <vt:lpstr>RESUMEN</vt:lpstr>
      <vt:lpstr>MAPA_39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Emmanuel Juárez Ortiz</cp:lastModifiedBy>
  <dcterms:created xsi:type="dcterms:W3CDTF">2026-09-27T15:18:41Z</dcterms:created>
  <dcterms:modified xsi:type="dcterms:W3CDTF">2026-09-27T15:18:41Z</dcterms:modified>
</cp:coreProperties>
</file>